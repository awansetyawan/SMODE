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Libur (Sabtu-Minggu)\QoS Level 2\Excel\"/>
    </mc:Choice>
  </mc:AlternateContent>
  <xr:revisionPtr revIDLastSave="0" documentId="13_ncr:1_{22651E09-D4A0-4CD3-97A4-504930C5A4D8}" xr6:coauthVersionLast="47" xr6:coauthVersionMax="47" xr10:uidLastSave="{00000000-0000-0000-0000-000000000000}"/>
  <bookViews>
    <workbookView xWindow="-108" yWindow="-108" windowWidth="23256" windowHeight="13176" xr2:uid="{93A6192F-E45A-4ACC-B29F-96771CB3721B}"/>
  </bookViews>
  <sheets>
    <sheet name="1" sheetId="1" r:id="rId1"/>
  </sheets>
  <calcPr calcId="191029"/>
</workbook>
</file>

<file path=xl/calcChain.xml><?xml version="1.0" encoding="utf-8"?>
<calcChain xmlns="http://schemas.openxmlformats.org/spreadsheetml/2006/main">
  <c r="J38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" i="1"/>
  <c r="J373" i="1" s="1"/>
  <c r="J377" i="1" l="1"/>
  <c r="J378" i="1" s="1"/>
  <c r="J379" i="1" s="1"/>
  <c r="L373" i="1"/>
  <c r="L374" i="1" s="1"/>
</calcChain>
</file>

<file path=xl/sharedStrings.xml><?xml version="1.0" encoding="utf-8"?>
<sst xmlns="http://schemas.openxmlformats.org/spreadsheetml/2006/main" count="1504" uniqueCount="384">
  <si>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</si>
  <si>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</si>
  <si>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</si>
  <si>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</si>
  <si>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</si>
  <si>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</si>
  <si>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</si>
  <si>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</si>
  <si>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</si>
  <si>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192.168.2.4</t>
  </si>
  <si>
    <t>TCP</t>
  </si>
  <si>
    <t>63733  &gt;  1883 [SYN] Seq=0 Win=64240 Len=0 MSS=1460 WS=256 SACK_PERM</t>
  </si>
  <si>
    <t>1883  &gt;  63733 [SYN, ACK] Seq=0 Ack=1 Win=64240 Len=0 MSS=1460 SACK_PERM WS=128</t>
  </si>
  <si>
    <t>63733  &gt;  1883 [ACK] Seq=1 Ack=1 Win=1051136 Len=0</t>
  </si>
  <si>
    <t>MQTT</t>
  </si>
  <si>
    <t>Connect Command</t>
  </si>
  <si>
    <t>1883  &gt;  63733 [ACK] Seq=1 Ack=46 Win=64256 Len=0</t>
  </si>
  <si>
    <t>Connect Ack</t>
  </si>
  <si>
    <t>Subscribe Request (id=65274) [test/QoS/]</t>
  </si>
  <si>
    <t>Subscribe Ack (id=65274)</t>
  </si>
  <si>
    <t>63733  &gt;  1883 [ACK] Seq=62 Ack=10 Win=1051136 Len=0</t>
  </si>
  <si>
    <t>Publish Message (id=65275) [test/QoS/]</t>
  </si>
  <si>
    <t>Publish Received (id=65275)</t>
  </si>
  <si>
    <t>Publish Message (id=1) [test/QoS/]</t>
  </si>
  <si>
    <t>63733  &gt;  1883 [ACK] Seq=81 Ack=33 Win=1051136 Len=0</t>
  </si>
  <si>
    <t>Publish Release (id=65275)</t>
  </si>
  <si>
    <t>Publish Complete (id=65275)</t>
  </si>
  <si>
    <t>Publish Received (id=1)</t>
  </si>
  <si>
    <t>Publish Release (id=1)</t>
  </si>
  <si>
    <t>Publish Complete (id=1)</t>
  </si>
  <si>
    <t>1883  &gt;  63733 [ACK] Seq=41 Ack=93 Win=64256 Len=0</t>
  </si>
  <si>
    <t>172.172.255.216</t>
  </si>
  <si>
    <t>49636  &gt;  443 [ACK] Seq=1 Ack=1 Win=512 Len=1</t>
  </si>
  <si>
    <t>Publish Message (id=2) [test/QoS/]</t>
  </si>
  <si>
    <t>Publish Received (id=2)</t>
  </si>
  <si>
    <t>1883  &gt;  63733 [ACK] Seq=60 Ack=97 Win=64256 Len=0</t>
  </si>
  <si>
    <t>Publish Release (id=2)</t>
  </si>
  <si>
    <t>Publish Complete (id=2)</t>
  </si>
  <si>
    <t>1883  &gt;  63733 [ACK] Seq=64 Ack=101 Win=64256 Len=0</t>
  </si>
  <si>
    <t>443  &gt;  49636 [ACK] Seq=1 Ack=2 Win=7394 Len=0 SLE=1 SRE=2</t>
  </si>
  <si>
    <t>Publish Message (id=65276) [test/QoS/]</t>
  </si>
  <si>
    <t>1883  &gt;  63733 [ACK] Seq=64 Ack=120 Win=64256 Len=0</t>
  </si>
  <si>
    <t>Publish Received (id=65276)</t>
  </si>
  <si>
    <t>Publish Message (id=3) [test/QoS/]</t>
  </si>
  <si>
    <t>63733  &gt;  1883 [ACK] Seq=120 Ack=87 Win=1050880 Len=0</t>
  </si>
  <si>
    <t>Publish Release (id=65276)</t>
  </si>
  <si>
    <t>Publish Complete (id=65276)</t>
  </si>
  <si>
    <t>Publish Received (id=3)</t>
  </si>
  <si>
    <t>Publish Release (id=3)</t>
  </si>
  <si>
    <t>Publish Complete (id=3)</t>
  </si>
  <si>
    <t>1883  &gt;  63733 [ACK] Seq=95 Ack=132 Win=64256 Len=0</t>
  </si>
  <si>
    <t>10.10.200.223</t>
  </si>
  <si>
    <t>63734  &gt;  80 [SYN] Seq=0 Win=64240 Len=0 MSS=1460 WS=256 SACK_PERM</t>
  </si>
  <si>
    <t>Publish Message (id=4) [test/QoS/]</t>
  </si>
  <si>
    <t>Publish Received (id=4)</t>
  </si>
  <si>
    <t>1883  &gt;  63733 [ACK] Seq=114 Ack=136 Win=64256 Len=0</t>
  </si>
  <si>
    <t>Publish Release (id=4)</t>
  </si>
  <si>
    <t>Publish Complete (id=4)</t>
  </si>
  <si>
    <t>1883  &gt;  63733 [ACK] Seq=118 Ack=140 Win=64256 Len=0</t>
  </si>
  <si>
    <t>[TCP Retransmission] 63734  &gt;  80 [SYN] Seq=0 Win=64240 Len=0 MSS=1460 WS=256 SACK_PERM</t>
  </si>
  <si>
    <t>Publish Message (id=65277) [test/QoS/]</t>
  </si>
  <si>
    <t>1883  &gt;  63733 [ACK] Seq=118 Ack=159 Win=64256 Len=0</t>
  </si>
  <si>
    <t>Publish Received (id=65277)</t>
  </si>
  <si>
    <t>Publish Release (id=65277)</t>
  </si>
  <si>
    <t>Publish Message (id=5) [test/QoS/]</t>
  </si>
  <si>
    <t>Publish Complete (id=65277)</t>
  </si>
  <si>
    <t>Publish Received (id=5)</t>
  </si>
  <si>
    <t>Publish Release (id=5)</t>
  </si>
  <si>
    <t>Publish Complete (id=5)</t>
  </si>
  <si>
    <t>1883  &gt;  63733 [ACK] Seq=149 Ack=171 Win=64256 Len=0</t>
  </si>
  <si>
    <t>Publish Message (id=6) [test/QoS/]</t>
  </si>
  <si>
    <t>Publish Received (id=6)</t>
  </si>
  <si>
    <t>1883  &gt;  63733 [ACK] Seq=168 Ack=175 Win=64256 Len=0</t>
  </si>
  <si>
    <t>Publish Release (id=6)</t>
  </si>
  <si>
    <t>Publish Complete (id=6)</t>
  </si>
  <si>
    <t>1883  &gt;  63733 [ACK] Seq=172 Ack=179 Win=64256 Len=0</t>
  </si>
  <si>
    <t>Publish Message (id=65278) [test/QoS/]</t>
  </si>
  <si>
    <t>1883  &gt;  63733 [ACK] Seq=172 Ack=198 Win=64256 Len=0</t>
  </si>
  <si>
    <t>Publish Received (id=65278)</t>
  </si>
  <si>
    <t>Publish Release (id=65278)</t>
  </si>
  <si>
    <t>Publish Message (id=7) [test/QoS/]</t>
  </si>
  <si>
    <t>Publish Received (id=7)</t>
  </si>
  <si>
    <t>Publish Complete (id=65278)</t>
  </si>
  <si>
    <t>Publish Release (id=7)</t>
  </si>
  <si>
    <t>63733  &gt;  1883 [ACK] Seq=206 Ack=203 Win=1050880 Len=0</t>
  </si>
  <si>
    <t>Publish Complete (id=7)</t>
  </si>
  <si>
    <t>1883  &gt;  63733 [ACK] Seq=203 Ack=210 Win=64256 Len=0</t>
  </si>
  <si>
    <t>Publish Message (id=8) [test/QoS/]</t>
  </si>
  <si>
    <t>Publish Received (id=8)</t>
  </si>
  <si>
    <t>1883  &gt;  63733 [ACK] Seq=222 Ack=214 Win=64256 Len=0</t>
  </si>
  <si>
    <t>Publish Release (id=8)</t>
  </si>
  <si>
    <t>Publish Complete (id=8)</t>
  </si>
  <si>
    <t>1883  &gt;  63733 [ACK] Seq=226 Ack=218 Win=64256 Len=0</t>
  </si>
  <si>
    <t>Publish Message (id=65279) [test/QoS/]</t>
  </si>
  <si>
    <t>1883  &gt;  63733 [ACK] Seq=226 Ack=237 Win=64256 Len=0</t>
  </si>
  <si>
    <t>Publish Received (id=65279)</t>
  </si>
  <si>
    <t>Publish Message (id=9) [test/QoS/]</t>
  </si>
  <si>
    <t>63733  &gt;  1883 [ACK] Seq=237 Ack=249 Win=1050880 Len=0</t>
  </si>
  <si>
    <t>Publish Release (id=65279)</t>
  </si>
  <si>
    <t>Publish Complete (id=65279)</t>
  </si>
  <si>
    <t>Publish Received (id=9)</t>
  </si>
  <si>
    <t>Publish Release (id=9)</t>
  </si>
  <si>
    <t>Publish Complete (id=9)</t>
  </si>
  <si>
    <t>1883  &gt;  63733 [ACK] Seq=257 Ack=249 Win=64256 Len=0</t>
  </si>
  <si>
    <t>Publish Message (id=10) [test/QoS/]</t>
  </si>
  <si>
    <t>Publish Received (id=10)</t>
  </si>
  <si>
    <t>1883  &gt;  63733 [ACK] Seq=276 Ack=253 Win=64256 Len=0</t>
  </si>
  <si>
    <t>Publish Release (id=10)</t>
  </si>
  <si>
    <t>Publish Complete (id=10)</t>
  </si>
  <si>
    <t>1883  &gt;  63733 [ACK] Seq=280 Ack=257 Win=64256 Len=0</t>
  </si>
  <si>
    <t>Publish Message (id=65280) [test/QoS/]</t>
  </si>
  <si>
    <t>1883  &gt;  63733 [ACK] Seq=280 Ack=276 Win=64256 Len=0</t>
  </si>
  <si>
    <t>Publish Received (id=65280)</t>
  </si>
  <si>
    <t>Publish Release (id=65280)</t>
  </si>
  <si>
    <t>Publish Message (id=11) [test/QoS/]</t>
  </si>
  <si>
    <t>Publish Complete (id=65280)</t>
  </si>
  <si>
    <t>Publish Received (id=11)</t>
  </si>
  <si>
    <t>Publish Release (id=11)</t>
  </si>
  <si>
    <t>Publish Complete (id=11)</t>
  </si>
  <si>
    <t>1883  &gt;  63733 [ACK] Seq=311 Ack=288 Win=64256 Len=0</t>
  </si>
  <si>
    <t>Publish Message (id=12) [test/QoS/]</t>
  </si>
  <si>
    <t>Publish Received (id=12)</t>
  </si>
  <si>
    <t>1883  &gt;  63733 [ACK] Seq=330 Ack=292 Win=64256 Len=0</t>
  </si>
  <si>
    <t>Publish Release (id=12)</t>
  </si>
  <si>
    <t>Publish Complete (id=12)</t>
  </si>
  <si>
    <t>1883  &gt;  63733 [ACK] Seq=334 Ack=296 Win=64256 Len=0</t>
  </si>
  <si>
    <t>Publish Message (id=65281) [test/QoS/]</t>
  </si>
  <si>
    <t>1883  &gt;  63733 [ACK] Seq=334 Ack=315 Win=64256 Len=0</t>
  </si>
  <si>
    <t>Publish Received (id=65281)</t>
  </si>
  <si>
    <t>Publish Message (id=13) [test/QoS/]</t>
  </si>
  <si>
    <t>63733  &gt;  1883 [ACK] Seq=315 Ack=357 Win=1050624 Len=0</t>
  </si>
  <si>
    <t>Publish Release (id=65281)</t>
  </si>
  <si>
    <t>Publish Complete (id=65281)</t>
  </si>
  <si>
    <t>Publish Received (id=13)</t>
  </si>
  <si>
    <t>Publish Release (id=13)</t>
  </si>
  <si>
    <t>Publish Complete (id=13)</t>
  </si>
  <si>
    <t>1883  &gt;  63733 [ACK] Seq=365 Ack=327 Win=64256 Len=0</t>
  </si>
  <si>
    <t>Publish Message (id=14) [test/QoS/]</t>
  </si>
  <si>
    <t>Publish Received (id=14)</t>
  </si>
  <si>
    <t>1883  &gt;  63733 [ACK] Seq=384 Ack=331 Win=64256 Len=0</t>
  </si>
  <si>
    <t>Publish Release (id=14)</t>
  </si>
  <si>
    <t>Publish Complete (id=14)</t>
  </si>
  <si>
    <t>1883  &gt;  63733 [ACK] Seq=388 Ack=335 Win=64256 Len=0</t>
  </si>
  <si>
    <t>Publish Message (id=65282) [test/QoS/]</t>
  </si>
  <si>
    <t>1883  &gt;  63733 [ACK] Seq=388 Ack=354 Win=64256 Len=0</t>
  </si>
  <si>
    <t>Publish Received (id=65282)</t>
  </si>
  <si>
    <t>Publish Release (id=65282)</t>
  </si>
  <si>
    <t>Publish Message (id=15) [test/QoS/]</t>
  </si>
  <si>
    <t>Publish Received (id=15)</t>
  </si>
  <si>
    <t>Publish Complete (id=65282)</t>
  </si>
  <si>
    <t>Publish Release (id=15)</t>
  </si>
  <si>
    <t>63733  &gt;  1883 [ACK] Seq=362 Ack=419 Win=1050624 Len=0</t>
  </si>
  <si>
    <t>Publish Complete (id=15)</t>
  </si>
  <si>
    <t>1883  &gt;  63733 [ACK] Seq=419 Ack=366 Win=64256 Len=0</t>
  </si>
  <si>
    <t>Publish Message (id=16) [test/QoS/]</t>
  </si>
  <si>
    <t>Publish Received (id=16)</t>
  </si>
  <si>
    <t>1883  &gt;  63733 [ACK] Seq=438 Ack=370 Win=64256 Len=0</t>
  </si>
  <si>
    <t>Publish Release (id=16)</t>
  </si>
  <si>
    <t>Publish Complete (id=16)</t>
  </si>
  <si>
    <t>1883  &gt;  63733 [ACK] Seq=442 Ack=374 Win=64256 Len=0</t>
  </si>
  <si>
    <t>Publish Message (id=65283) [test/QoS/]</t>
  </si>
  <si>
    <t>1883  &gt;  63733 [ACK] Seq=442 Ack=393 Win=64256 Len=0</t>
  </si>
  <si>
    <t>Publish Received (id=65283)</t>
  </si>
  <si>
    <t>Publish Release (id=65283)</t>
  </si>
  <si>
    <t>Publish Message (id=17) [test/QoS/]</t>
  </si>
  <si>
    <t>Publish Received (id=17)</t>
  </si>
  <si>
    <t>Publish Complete (id=65283)</t>
  </si>
  <si>
    <t>Publish Release (id=17)</t>
  </si>
  <si>
    <t>63733  &gt;  1883 [ACK] Seq=401 Ack=473 Win=1050624 Len=0</t>
  </si>
  <si>
    <t>Publish Complete (id=17)</t>
  </si>
  <si>
    <t>1883  &gt;  63733 [ACK] Seq=473 Ack=405 Win=64256 Len=0</t>
  </si>
  <si>
    <t>Publish Message (id=18) [test/QoS/]</t>
  </si>
  <si>
    <t>Publish Received (id=18)</t>
  </si>
  <si>
    <t>1883  &gt;  63733 [ACK] Seq=492 Ack=409 Win=64256 Len=0</t>
  </si>
  <si>
    <t>Publish Release (id=18)</t>
  </si>
  <si>
    <t>Publish Complete (id=18)</t>
  </si>
  <si>
    <t>1883  &gt;  63733 [ACK] Seq=496 Ack=413 Win=64256 Len=0</t>
  </si>
  <si>
    <t>Publish Message (id=65284) [test/QoS/]</t>
  </si>
  <si>
    <t>1883  &gt;  63733 [ACK] Seq=496 Ack=432 Win=64256 Len=0</t>
  </si>
  <si>
    <t>Publish Received (id=65284)</t>
  </si>
  <si>
    <t>Publish Message (id=19) [test/QoS/]</t>
  </si>
  <si>
    <t>63733  &gt;  1883 [ACK] Seq=432 Ack=519 Win=1050624 Len=0</t>
  </si>
  <si>
    <t>Publish Release (id=65284)</t>
  </si>
  <si>
    <t>Publish Complete (id=65284)</t>
  </si>
  <si>
    <t>Publish Received (id=19)</t>
  </si>
  <si>
    <t>Publish Release (id=19)</t>
  </si>
  <si>
    <t>Publish Complete (id=19)</t>
  </si>
  <si>
    <t>1883  &gt;  63733 [ACK] Seq=527 Ack=444 Win=64256 Len=0</t>
  </si>
  <si>
    <t>Publish Message (id=20) [test/QoS/]</t>
  </si>
  <si>
    <t>Publish Received (id=20)</t>
  </si>
  <si>
    <t>1883  &gt;  63733 [ACK] Seq=546 Ack=448 Win=64256 Len=0</t>
  </si>
  <si>
    <t>Publish Release (id=20)</t>
  </si>
  <si>
    <t>Publish Complete (id=20)</t>
  </si>
  <si>
    <t>1883  &gt;  63733 [ACK] Seq=550 Ack=452 Win=64256 Len=0</t>
  </si>
  <si>
    <t>Publish Message (id=65285) [test/QoS/]</t>
  </si>
  <si>
    <t>1883  &gt;  63733 [ACK] Seq=550 Ack=471 Win=64256 Len=0</t>
  </si>
  <si>
    <t>Publish Received (id=65285)</t>
  </si>
  <si>
    <t>Publish Message (id=21) [test/QoS/]</t>
  </si>
  <si>
    <t>63733  &gt;  1883 [ACK] Seq=471 Ack=573 Win=1050624 Len=0</t>
  </si>
  <si>
    <t>Publish Release (id=65285)</t>
  </si>
  <si>
    <t>Publish Complete (id=65285)</t>
  </si>
  <si>
    <t>Publish Received (id=21)</t>
  </si>
  <si>
    <t>Publish Release (id=21)</t>
  </si>
  <si>
    <t>Publish Complete (id=21)</t>
  </si>
  <si>
    <t>1883  &gt;  63733 [ACK] Seq=581 Ack=483 Win=64256 Len=0</t>
  </si>
  <si>
    <t>Publish Message (id=22) [test/QoS/]</t>
  </si>
  <si>
    <t>Publish Received (id=22)</t>
  </si>
  <si>
    <t>1883  &gt;  63733 [ACK] Seq=600 Ack=487 Win=64256 Len=0</t>
  </si>
  <si>
    <t>Publish Release (id=22)</t>
  </si>
  <si>
    <t>Publish Complete (id=22)</t>
  </si>
  <si>
    <t>1883  &gt;  63733 [ACK] Seq=604 Ack=491 Win=64256 Len=0</t>
  </si>
  <si>
    <t>Publish Message (id=65286) [test/QoS/]</t>
  </si>
  <si>
    <t>1883  &gt;  63733 [ACK] Seq=604 Ack=510 Win=64256 Len=0</t>
  </si>
  <si>
    <t>Publish Received (id=65286)</t>
  </si>
  <si>
    <t>Publish Release (id=65286)</t>
  </si>
  <si>
    <t>Publish Message (id=23) [test/QoS/]</t>
  </si>
  <si>
    <t>Publish Received (id=23)</t>
  </si>
  <si>
    <t>Publish Complete (id=65286)</t>
  </si>
  <si>
    <t>Publish Release (id=23)</t>
  </si>
  <si>
    <t>63733  &gt;  1883 [ACK] Seq=518 Ack=635 Win=1050368 Len=0</t>
  </si>
  <si>
    <t>Publish Complete (id=23)</t>
  </si>
  <si>
    <t>1883  &gt;  63733 [ACK] Seq=635 Ack=522 Win=64256 Len=0</t>
  </si>
  <si>
    <t>Publish Message (id=24) [test/QoS/]</t>
  </si>
  <si>
    <t>Publish Received (id=24)</t>
  </si>
  <si>
    <t>1883  &gt;  63733 [ACK] Seq=654 Ack=526 Win=64256 Len=0</t>
  </si>
  <si>
    <t>Publish Release (id=24)</t>
  </si>
  <si>
    <t>Publish Complete (id=24)</t>
  </si>
  <si>
    <t>1883  &gt;  63733 [ACK] Seq=658 Ack=530 Win=64256 Len=0</t>
  </si>
  <si>
    <t>Publish Message (id=65287) [test/QoS/]</t>
  </si>
  <si>
    <t>1883  &gt;  63733 [ACK] Seq=658 Ack=549 Win=64256 Len=0</t>
  </si>
  <si>
    <t>Publish Received (id=65287)</t>
  </si>
  <si>
    <t>Publish Release (id=65287)</t>
  </si>
  <si>
    <t>Publish Message (id=25) [test/QoS/]</t>
  </si>
  <si>
    <t>Publish Complete (id=65287)</t>
  </si>
  <si>
    <t>Publish Received (id=25)</t>
  </si>
  <si>
    <t>Publish Release (id=25)</t>
  </si>
  <si>
    <t>Publish Complete (id=25)</t>
  </si>
  <si>
    <t>1883  &gt;  63733 [ACK] Seq=689 Ack=561 Win=64256 Len=0</t>
  </si>
  <si>
    <t>Publish Message (id=26) [test/QoS/]</t>
  </si>
  <si>
    <t>Publish Received (id=26)</t>
  </si>
  <si>
    <t>1883  &gt;  63733 [ACK] Seq=708 Ack=565 Win=64256 Len=0</t>
  </si>
  <si>
    <t>Publish Release (id=26)</t>
  </si>
  <si>
    <t>Publish Complete (id=26)</t>
  </si>
  <si>
    <t>10.149.3.214</t>
  </si>
  <si>
    <t>63735  &gt;  7680 [SYN] Seq=0 Win=64240 Len=0 MSS=1460 WS=256 SACK_PERM</t>
  </si>
  <si>
    <t>172.17.16.231</t>
  </si>
  <si>
    <t>63736  &gt;  7680 [SYN] Seq=0 Win=64240 Len=0 MSS=1460 WS=256 SACK_PERM</t>
  </si>
  <si>
    <t>1883  &gt;  63733 [ACK] Seq=712 Ack=569 Win=64256 Len=0</t>
  </si>
  <si>
    <t>Publish Message (id=65288) [test/QoS/]</t>
  </si>
  <si>
    <t>1883  &gt;  63733 [ACK] Seq=712 Ack=588 Win=64256 Len=0</t>
  </si>
  <si>
    <t>Publish Received (id=65288)</t>
  </si>
  <si>
    <t>Publish Release (id=65288)</t>
  </si>
  <si>
    <t>Publish Message (id=27) [test/QoS/]</t>
  </si>
  <si>
    <t>Publish Received (id=27)</t>
  </si>
  <si>
    <t>Publish Complete (id=65288)</t>
  </si>
  <si>
    <t>Publish Release (id=27)</t>
  </si>
  <si>
    <t>63733  &gt;  1883 [ACK] Seq=596 Ack=743 Win=1050368 Len=0</t>
  </si>
  <si>
    <t>Publish Complete (id=27)</t>
  </si>
  <si>
    <t>1883  &gt;  63733 [ACK] Seq=743 Ack=600 Win=64256 Len=0</t>
  </si>
  <si>
    <t>[TCP Retransmission] 63736  &gt;  7680 [SYN] Seq=0 Win=64240 Len=0 MSS=1460 WS=256 SACK_PERM</t>
  </si>
  <si>
    <t>[TCP Retransmission] 63735  &gt;  7680 [SYN] Seq=0 Win=64240 Len=0 MSS=1460 WS=256 SACK_PERM</t>
  </si>
  <si>
    <t>10.10.103.161</t>
  </si>
  <si>
    <t>63737  &gt;  7680 [SYN] Seq=0 Win=64240 Len=0 MSS=1460 WS=256 SACK_PERM</t>
  </si>
  <si>
    <t>Publish Message (id=28) [test/QoS/]</t>
  </si>
  <si>
    <t>Publish Received (id=28)</t>
  </si>
  <si>
    <t>1883  &gt;  63733 [ACK] Seq=762 Ack=604 Win=64256 Len=0</t>
  </si>
  <si>
    <t>Publish Release (id=28)</t>
  </si>
  <si>
    <t>Publish Complete (id=28)</t>
  </si>
  <si>
    <t>1883  &gt;  63733 [ACK] Seq=766 Ack=608 Win=64256 Len=0</t>
  </si>
  <si>
    <t>Publish Message (id=65289) [test/QoS/]</t>
  </si>
  <si>
    <t>1883  &gt;  63733 [ACK] Seq=766 Ack=627 Win=64256 Len=0</t>
  </si>
  <si>
    <t>Publish Received (id=65289)</t>
  </si>
  <si>
    <t>Publish Message (id=29) [test/QoS/]</t>
  </si>
  <si>
    <t>63733  &gt;  1883 [ACK] Seq=627 Ack=789 Win=1050368 Len=0</t>
  </si>
  <si>
    <t>Publish Release (id=65289)</t>
  </si>
  <si>
    <t>Publish Complete (id=65289)</t>
  </si>
  <si>
    <t>Publish Received (id=29)</t>
  </si>
  <si>
    <t>Publish Release (id=29)</t>
  </si>
  <si>
    <t>Publish Complete (id=29)</t>
  </si>
  <si>
    <t>1883  &gt;  63733 [ACK] Seq=797 Ack=639 Win=64256 Len=0</t>
  </si>
  <si>
    <t>[TCP Retransmission] 63737  &gt;  7680 [SYN] Seq=0 Win=64240 Len=0 MSS=1460 WS=256 SACK_PERM</t>
  </si>
  <si>
    <t>Publish Message (id=30) [test/QoS/]</t>
  </si>
  <si>
    <t>Publish Received (id=30)</t>
  </si>
  <si>
    <t>1883  &gt;  63733 [ACK] Seq=816 Ack=643 Win=64256 Len=0</t>
  </si>
  <si>
    <t>Publish Release (id=30)</t>
  </si>
  <si>
    <t>Publish Complete (id=30)</t>
  </si>
  <si>
    <t>1883  &gt;  63733 [ACK] Seq=820 Ack=647 Win=64256 Len=0</t>
  </si>
  <si>
    <t>Publish Message (id=65290) [test/QoS/]</t>
  </si>
  <si>
    <t>1883  &gt;  63733 [ACK] Seq=820 Ack=666 Win=64256 Len=0</t>
  </si>
  <si>
    <t>Publish Received (id=65290)</t>
  </si>
  <si>
    <t>Publish Release (id=65290)</t>
  </si>
  <si>
    <t>Publish Message (id=31) [test/QoS/]</t>
  </si>
  <si>
    <t>Publish Received (id=31)</t>
  </si>
  <si>
    <t>Publish Complete (id=65290)</t>
  </si>
  <si>
    <t>Publish Release (id=31)</t>
  </si>
  <si>
    <t>63733  &gt;  1883 [ACK] Seq=674 Ack=851 Win=1050112 Len=0</t>
  </si>
  <si>
    <t>Publish Complete (id=31)</t>
  </si>
  <si>
    <t>1883  &gt;  63733 [ACK] Seq=851 Ack=678 Win=64256 Len=0</t>
  </si>
  <si>
    <t>Publish Message (id=32) [test/QoS/]</t>
  </si>
  <si>
    <t>Publish Received (id=32)</t>
  </si>
  <si>
    <t>1883  &gt;  63733 [ACK] Seq=870 Ack=682 Win=64256 Len=0</t>
  </si>
  <si>
    <t>Publish Release (id=32)</t>
  </si>
  <si>
    <t>Publish Complete (id=32)</t>
  </si>
  <si>
    <t>1883  &gt;  63733 [ACK] Seq=874 Ack=686 Win=64256 Len=0</t>
  </si>
  <si>
    <t>Publish Message (id=65291) [test/QoS/]</t>
  </si>
  <si>
    <t>1883  &gt;  63733 [ACK] Seq=874 Ack=705 Win=64256 Len=0</t>
  </si>
  <si>
    <t>Publish Received (id=65291)</t>
  </si>
  <si>
    <t>Publish Release (id=65291)</t>
  </si>
  <si>
    <t>Publish Message (id=33) [test/QoS/]</t>
  </si>
  <si>
    <t>Publish Received (id=33)</t>
  </si>
  <si>
    <t>Publish Complete (id=65291)</t>
  </si>
  <si>
    <t>Publish Release (id=33)</t>
  </si>
  <si>
    <t>63733  &gt;  1883 [ACK] Seq=713 Ack=905 Win=1050112 Len=0</t>
  </si>
  <si>
    <t>Publish Complete (id=33)</t>
  </si>
  <si>
    <t>1883  &gt;  63733 [ACK] Seq=905 Ack=717 Win=64256 Len=0</t>
  </si>
  <si>
    <t>Publish Message (id=34) [test/QoS/]</t>
  </si>
  <si>
    <t>Publish Received (id=34)</t>
  </si>
  <si>
    <t>1883  &gt;  63733 [ACK] Seq=924 Ack=721 Win=64256 Len=0</t>
  </si>
  <si>
    <t>Publish Release (id=34)</t>
  </si>
  <si>
    <t>Publish Complete (id=34)</t>
  </si>
  <si>
    <t>1883  &gt;  63733 [ACK] Seq=928 Ack=725 Win=64256 Len=0</t>
  </si>
  <si>
    <t>Publish Message (id=65292) [test/QoS/]</t>
  </si>
  <si>
    <t>1883  &gt;  63733 [ACK] Seq=928 Ack=744 Win=64256 Len=0</t>
  </si>
  <si>
    <t>Publish Received (id=65292)</t>
  </si>
  <si>
    <t>Publish Release (id=65292)</t>
  </si>
  <si>
    <t>Publish Message (id=35) [test/QoS/]</t>
  </si>
  <si>
    <t>Publish Complete (id=65292)</t>
  </si>
  <si>
    <t>63733  &gt;  1883 [ACK] Seq=748 Ack=955 Win=1050112 Len=0</t>
  </si>
  <si>
    <t>Publish Received (id=35)</t>
  </si>
  <si>
    <t>Publish Release (id=35)</t>
  </si>
  <si>
    <t>Publish Complete (id=35)</t>
  </si>
  <si>
    <t>1883  &gt;  63733 [ACK] Seq=959 Ack=756 Win=64256 Len=0</t>
  </si>
  <si>
    <t>Publish Message (id=36) [test/QoS/]</t>
  </si>
  <si>
    <t>Publish Received (id=36)</t>
  </si>
  <si>
    <t>1883  &gt;  63733 [ACK] Seq=978 Ack=760 Win=64256 Len=0</t>
  </si>
  <si>
    <t>Publish Release (id=36)</t>
  </si>
  <si>
    <t>Publish Complete (id=36)</t>
  </si>
  <si>
    <t>1883  &gt;  63733 [ACK] Seq=982 Ack=764 Win=64256 Len=0</t>
  </si>
  <si>
    <t>Publish Message (id=65293) [test/QoS/]</t>
  </si>
  <si>
    <t>1883  &gt;  63733 [ACK] Seq=982 Ack=783 Win=64256 Len=0</t>
  </si>
  <si>
    <t>Publish Received (id=65293)</t>
  </si>
  <si>
    <t>Publish Release (id=65293)</t>
  </si>
  <si>
    <t>Publish Message (id=37) [test/QoS/]</t>
  </si>
  <si>
    <t>Publish Complete (id=65293)</t>
  </si>
  <si>
    <t>Publish Received (id=37)</t>
  </si>
  <si>
    <t>Publish Release (id=37)</t>
  </si>
  <si>
    <t>Publish Complete (id=37)</t>
  </si>
  <si>
    <t>1883  &gt;  63733 [ACK] Seq=1013 Ack=795 Win=64256 Len=0</t>
  </si>
  <si>
    <t>Publish Message (id=38) [test/QoS/]</t>
  </si>
  <si>
    <t>Publish Received (id=38)</t>
  </si>
  <si>
    <t>1883  &gt;  63733 [ACK] Seq=1032 Ack=799 Win=64256 Len=0</t>
  </si>
  <si>
    <t>Publish Release (id=38)</t>
  </si>
  <si>
    <t>Publish Complete (id=38)</t>
  </si>
  <si>
    <t>1883  &gt;  63733 [ACK] Seq=1036 Ack=803 Win=64256 Len=0</t>
  </si>
  <si>
    <t>Publish Message (id=65294) [test/QoS/]</t>
  </si>
  <si>
    <t>1883  &gt;  63733 [ACK] Seq=1036 Ack=822 Win=64256 Len=0</t>
  </si>
  <si>
    <t>Publish Received (id=65294)</t>
  </si>
  <si>
    <t>Publish Release (id=65294)</t>
  </si>
  <si>
    <t>Publish Message (id=39) [test/QoS/]</t>
  </si>
  <si>
    <t>Publish Received (id=39)</t>
  </si>
  <si>
    <t>Publish Complete (id=65294)</t>
  </si>
  <si>
    <t>Publish Release (id=39)</t>
  </si>
  <si>
    <t>63733  &gt;  1883 [ACK] Seq=830 Ack=1067 Win=1050112 Len=0</t>
  </si>
  <si>
    <t>Publish Complete (id=39)</t>
  </si>
  <si>
    <t>1883  &gt;  63733 [ACK] Seq=1067 Ack=834 Win=64256 Len=0</t>
  </si>
  <si>
    <t>Publish Message (id=40) [test/QoS/]</t>
  </si>
  <si>
    <t>Publish Received (id=40)</t>
  </si>
  <si>
    <t>1883  &gt;  63733 [ACK] Seq=1086 Ack=838 Win=64256 Len=0</t>
  </si>
  <si>
    <t>Publish Release (id=40)</t>
  </si>
  <si>
    <t>Publish Complete (id=40)</t>
  </si>
  <si>
    <t>1883  &gt;  63733 [ACK] Seq=1090 Ack=842 Win=64256 Len=0</t>
  </si>
  <si>
    <t>63738  &gt;  80 [SYN] Seq=0 Win=64240 Len=0 MSS=1460 WS=256 SACK_PERM</t>
  </si>
  <si>
    <t>[TCP Retransmission] 63738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</si>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</sst>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464820</xdr:colOff>
      <xdr:row>372</xdr:row>
      <xdr:rowOff>15056</xdr:rowOff>
    </xdr:from>
    <xdr:to>
      <xdr:col>7</xdr:col>
      <xdr:colOff>5638800</xdr:colOff>
      <xdr:row>400</xdr:row>
      <xdr:rowOff>886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6F900B-A0BC-BDE3-0564-D3F95483C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2460" y="68046416"/>
          <a:ext cx="7597140" cy="5106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890C-4AA9-4ABE-AAB1-B5A6EEE74602}">
  <dimension ref="A1:M383"/>
  <sheetViews>
    <sheetView tabSelected="1" topLeftCell="E367" workbookViewId="0">
      <selection activeCell="J386" sqref="J386"/>
    </sheetView>
  </sheetViews>
  <sheetFormatPr defaultRowHeight="14.4" x14ac:dyDescent="0.3"/>
  <cols>
    <col min="1" max="1" width="4" bestFit="1" customWidth="1"/>
    <col min="2" max="2" width="10" bestFit="1" customWidth="1"/>
    <col min="3" max="4" width="14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4.1093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</v>
      </c>
      <c r="B2">
        <v>0.33464100000000002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0.33535999999999999</v>
      </c>
      <c r="C3" t="s">
        <v>9</v>
      </c>
      <c r="D3" t="s">
        <v>8</v>
      </c>
      <c r="E3" t="s">
        <v>10</v>
      </c>
      <c r="F3">
        <v>66</v>
      </c>
      <c r="G3">
        <v>7.1900000000000002E-4</v>
      </c>
      <c r="H3" t="s">
        <v>12</v>
      </c>
      <c r="J3">
        <f>ROUNDUP(G3,4)</f>
        <v>8.0000000000000004E-4</v>
      </c>
    </row>
    <row r="4" spans="1:10" x14ac:dyDescent="0.3">
      <c r="A4">
        <v>4</v>
      </c>
      <c r="B4">
        <v>0.33543800000000001</v>
      </c>
      <c r="C4" t="s">
        <v>8</v>
      </c>
      <c r="D4" t="s">
        <v>9</v>
      </c>
      <c r="E4" t="s">
        <v>10</v>
      </c>
      <c r="F4">
        <v>54</v>
      </c>
      <c r="G4">
        <v>7.7999999999999999E-5</v>
      </c>
      <c r="H4" t="s">
        <v>13</v>
      </c>
      <c r="J4">
        <f t="shared" ref="J4:J67" si="0">ROUNDUP(G4,4)</f>
        <v>1E-4</v>
      </c>
    </row>
    <row r="5" spans="1:10" x14ac:dyDescent="0.3">
      <c r="A5">
        <v>5</v>
      </c>
      <c r="B5">
        <v>0.33829599999999999</v>
      </c>
      <c r="C5" t="s">
        <v>8</v>
      </c>
      <c r="D5" t="s">
        <v>9</v>
      </c>
      <c r="E5" t="s">
        <v>14</v>
      </c>
      <c r="F5">
        <v>99</v>
      </c>
      <c r="G5">
        <v>2.8579999999999999E-3</v>
      </c>
      <c r="H5" t="s">
        <v>15</v>
      </c>
      <c r="J5">
        <f t="shared" si="0"/>
        <v>2.8999999999999998E-3</v>
      </c>
    </row>
    <row r="6" spans="1:10" x14ac:dyDescent="0.3">
      <c r="A6">
        <v>6</v>
      </c>
      <c r="B6">
        <v>0.33866499999999999</v>
      </c>
      <c r="C6" t="s">
        <v>9</v>
      </c>
      <c r="D6" t="s">
        <v>8</v>
      </c>
      <c r="E6" t="s">
        <v>10</v>
      </c>
      <c r="F6">
        <v>60</v>
      </c>
      <c r="G6">
        <v>3.6900000000000002E-4</v>
      </c>
      <c r="H6" t="s">
        <v>16</v>
      </c>
      <c r="J6">
        <f t="shared" si="0"/>
        <v>3.9999999999999996E-4</v>
      </c>
    </row>
    <row r="7" spans="1:10" x14ac:dyDescent="0.3">
      <c r="A7">
        <v>7</v>
      </c>
      <c r="B7">
        <v>0.342831</v>
      </c>
      <c r="C7" t="s">
        <v>9</v>
      </c>
      <c r="D7" t="s">
        <v>8</v>
      </c>
      <c r="E7" t="s">
        <v>14</v>
      </c>
      <c r="F7">
        <v>60</v>
      </c>
      <c r="G7">
        <v>4.1660000000000004E-3</v>
      </c>
      <c r="H7" t="s">
        <v>17</v>
      </c>
      <c r="J7">
        <f t="shared" si="0"/>
        <v>4.2000000000000006E-3</v>
      </c>
    </row>
    <row r="8" spans="1:10" x14ac:dyDescent="0.3">
      <c r="A8">
        <v>8</v>
      </c>
      <c r="B8">
        <v>0.39292700000000003</v>
      </c>
      <c r="C8" t="s">
        <v>8</v>
      </c>
      <c r="D8" t="s">
        <v>9</v>
      </c>
      <c r="E8" t="s">
        <v>14</v>
      </c>
      <c r="F8">
        <v>70</v>
      </c>
      <c r="G8">
        <v>5.0096000000000002E-2</v>
      </c>
      <c r="H8" t="s">
        <v>18</v>
      </c>
      <c r="J8">
        <f t="shared" si="0"/>
        <v>5.0100000000000006E-2</v>
      </c>
    </row>
    <row r="9" spans="1:10" x14ac:dyDescent="0.3">
      <c r="A9">
        <v>9</v>
      </c>
      <c r="B9">
        <v>0.40062500000000001</v>
      </c>
      <c r="C9" t="s">
        <v>9</v>
      </c>
      <c r="D9" t="s">
        <v>8</v>
      </c>
      <c r="E9" t="s">
        <v>14</v>
      </c>
      <c r="F9">
        <v>60</v>
      </c>
      <c r="G9">
        <v>7.698E-3</v>
      </c>
      <c r="H9" t="s">
        <v>19</v>
      </c>
      <c r="J9">
        <f t="shared" si="0"/>
        <v>7.7000000000000002E-3</v>
      </c>
    </row>
    <row r="10" spans="1:10" x14ac:dyDescent="0.3">
      <c r="A10">
        <v>10</v>
      </c>
      <c r="B10">
        <v>0.441135</v>
      </c>
      <c r="C10" t="s">
        <v>8</v>
      </c>
      <c r="D10" t="s">
        <v>9</v>
      </c>
      <c r="E10" t="s">
        <v>10</v>
      </c>
      <c r="F10">
        <v>54</v>
      </c>
      <c r="G10">
        <v>4.0509999999999997E-2</v>
      </c>
      <c r="H10" t="s">
        <v>20</v>
      </c>
      <c r="J10">
        <f t="shared" si="0"/>
        <v>4.0600000000000004E-2</v>
      </c>
    </row>
    <row r="11" spans="1:10" x14ac:dyDescent="0.3">
      <c r="A11">
        <v>16</v>
      </c>
      <c r="B11">
        <v>3.0775749999999999</v>
      </c>
      <c r="C11" t="s">
        <v>8</v>
      </c>
      <c r="D11" t="s">
        <v>9</v>
      </c>
      <c r="E11" t="s">
        <v>14</v>
      </c>
      <c r="F11">
        <v>73</v>
      </c>
      <c r="G11">
        <v>2.6364399999999999</v>
      </c>
      <c r="H11" t="s">
        <v>21</v>
      </c>
      <c r="J11">
        <f t="shared" si="0"/>
        <v>2.6365000000000003</v>
      </c>
    </row>
    <row r="12" spans="1:10" x14ac:dyDescent="0.3">
      <c r="A12">
        <v>17</v>
      </c>
      <c r="B12">
        <v>3.0841349999999998</v>
      </c>
      <c r="C12" t="s">
        <v>9</v>
      </c>
      <c r="D12" t="s">
        <v>8</v>
      </c>
      <c r="E12" t="s">
        <v>14</v>
      </c>
      <c r="F12">
        <v>60</v>
      </c>
      <c r="G12">
        <v>6.5599999999999999E-3</v>
      </c>
      <c r="H12" t="s">
        <v>22</v>
      </c>
      <c r="J12">
        <f t="shared" si="0"/>
        <v>6.6E-3</v>
      </c>
    </row>
    <row r="13" spans="1:10" x14ac:dyDescent="0.3">
      <c r="A13">
        <v>18</v>
      </c>
      <c r="B13">
        <v>3.0844520000000002</v>
      </c>
      <c r="C13" t="s">
        <v>9</v>
      </c>
      <c r="D13" t="s">
        <v>8</v>
      </c>
      <c r="E13" t="s">
        <v>14</v>
      </c>
      <c r="F13">
        <v>73</v>
      </c>
      <c r="G13">
        <v>3.1700000000000001E-4</v>
      </c>
      <c r="H13" t="s">
        <v>23</v>
      </c>
      <c r="J13">
        <f t="shared" si="0"/>
        <v>3.9999999999999996E-4</v>
      </c>
    </row>
    <row r="14" spans="1:10" x14ac:dyDescent="0.3">
      <c r="A14">
        <v>19</v>
      </c>
      <c r="B14">
        <v>3.08447</v>
      </c>
      <c r="C14" t="s">
        <v>8</v>
      </c>
      <c r="D14" t="s">
        <v>9</v>
      </c>
      <c r="E14" t="s">
        <v>10</v>
      </c>
      <c r="F14">
        <v>54</v>
      </c>
      <c r="G14">
        <v>1.8E-5</v>
      </c>
      <c r="H14" t="s">
        <v>24</v>
      </c>
      <c r="J14">
        <f t="shared" si="0"/>
        <v>1E-4</v>
      </c>
    </row>
    <row r="15" spans="1:10" x14ac:dyDescent="0.3">
      <c r="A15">
        <v>20</v>
      </c>
      <c r="B15">
        <v>3.0852919999999999</v>
      </c>
      <c r="C15" t="s">
        <v>8</v>
      </c>
      <c r="D15" t="s">
        <v>9</v>
      </c>
      <c r="E15" t="s">
        <v>14</v>
      </c>
      <c r="F15">
        <v>58</v>
      </c>
      <c r="G15">
        <v>8.2200000000000003E-4</v>
      </c>
      <c r="H15" t="s">
        <v>25</v>
      </c>
      <c r="J15">
        <f t="shared" si="0"/>
        <v>9.0000000000000008E-4</v>
      </c>
    </row>
    <row r="16" spans="1:10" x14ac:dyDescent="0.3">
      <c r="A16">
        <v>21</v>
      </c>
      <c r="B16">
        <v>3.0863390000000002</v>
      </c>
      <c r="C16" t="s">
        <v>9</v>
      </c>
      <c r="D16" t="s">
        <v>8</v>
      </c>
      <c r="E16" t="s">
        <v>14</v>
      </c>
      <c r="F16">
        <v>60</v>
      </c>
      <c r="G16">
        <v>1.047E-3</v>
      </c>
      <c r="H16" t="s">
        <v>26</v>
      </c>
      <c r="J16">
        <f t="shared" si="0"/>
        <v>1.1000000000000001E-3</v>
      </c>
    </row>
    <row r="17" spans="1:10" x14ac:dyDescent="0.3">
      <c r="A17">
        <v>22</v>
      </c>
      <c r="B17">
        <v>3.0863640000000001</v>
      </c>
      <c r="C17" t="s">
        <v>8</v>
      </c>
      <c r="D17" t="s">
        <v>9</v>
      </c>
      <c r="E17" t="s">
        <v>14</v>
      </c>
      <c r="F17">
        <v>58</v>
      </c>
      <c r="G17">
        <v>2.5000000000000001E-5</v>
      </c>
      <c r="H17" t="s">
        <v>27</v>
      </c>
      <c r="J17">
        <f t="shared" si="0"/>
        <v>1E-4</v>
      </c>
    </row>
    <row r="18" spans="1:10" x14ac:dyDescent="0.3">
      <c r="A18">
        <v>23</v>
      </c>
      <c r="B18">
        <v>3.0873710000000001</v>
      </c>
      <c r="C18" t="s">
        <v>9</v>
      </c>
      <c r="D18" t="s">
        <v>8</v>
      </c>
      <c r="E18" t="s">
        <v>14</v>
      </c>
      <c r="F18">
        <v>60</v>
      </c>
      <c r="G18">
        <v>1.0070000000000001E-3</v>
      </c>
      <c r="H18" t="s">
        <v>28</v>
      </c>
      <c r="J18">
        <f t="shared" si="0"/>
        <v>1.1000000000000001E-3</v>
      </c>
    </row>
    <row r="19" spans="1:10" x14ac:dyDescent="0.3">
      <c r="A19">
        <v>24</v>
      </c>
      <c r="B19">
        <v>3.095367</v>
      </c>
      <c r="C19" t="s">
        <v>8</v>
      </c>
      <c r="D19" t="s">
        <v>9</v>
      </c>
      <c r="E19" t="s">
        <v>14</v>
      </c>
      <c r="F19">
        <v>58</v>
      </c>
      <c r="G19">
        <v>7.9959999999999996E-3</v>
      </c>
      <c r="H19" t="s">
        <v>29</v>
      </c>
      <c r="J19">
        <f t="shared" si="0"/>
        <v>8.0000000000000002E-3</v>
      </c>
    </row>
    <row r="20" spans="1:10" x14ac:dyDescent="0.3">
      <c r="A20">
        <v>25</v>
      </c>
      <c r="B20">
        <v>3.1361140000000001</v>
      </c>
      <c r="C20" t="s">
        <v>9</v>
      </c>
      <c r="D20" t="s">
        <v>8</v>
      </c>
      <c r="E20" t="s">
        <v>10</v>
      </c>
      <c r="F20">
        <v>60</v>
      </c>
      <c r="G20">
        <v>4.0746999999999998E-2</v>
      </c>
      <c r="H20" t="s">
        <v>30</v>
      </c>
      <c r="J20">
        <f t="shared" si="0"/>
        <v>4.0800000000000003E-2</v>
      </c>
    </row>
    <row r="21" spans="1:10" x14ac:dyDescent="0.3">
      <c r="A21">
        <v>26</v>
      </c>
      <c r="B21">
        <v>3.89872</v>
      </c>
      <c r="C21" t="s">
        <v>8</v>
      </c>
      <c r="D21" t="s">
        <v>31</v>
      </c>
      <c r="E21" t="s">
        <v>10</v>
      </c>
      <c r="F21">
        <v>55</v>
      </c>
      <c r="G21">
        <v>0.76260600000000001</v>
      </c>
      <c r="H21" t="s">
        <v>32</v>
      </c>
      <c r="J21">
        <f t="shared" si="0"/>
        <v>0.76269999999999993</v>
      </c>
    </row>
    <row r="22" spans="1:10" x14ac:dyDescent="0.3">
      <c r="A22">
        <v>28</v>
      </c>
      <c r="B22">
        <v>4.0193779999999997</v>
      </c>
      <c r="C22" t="s">
        <v>9</v>
      </c>
      <c r="D22" t="s">
        <v>8</v>
      </c>
      <c r="E22" t="s">
        <v>14</v>
      </c>
      <c r="F22">
        <v>73</v>
      </c>
      <c r="G22">
        <v>0.120658</v>
      </c>
      <c r="H22" t="s">
        <v>33</v>
      </c>
      <c r="J22">
        <f t="shared" si="0"/>
        <v>0.1207</v>
      </c>
    </row>
    <row r="23" spans="1:10" x14ac:dyDescent="0.3">
      <c r="A23">
        <v>29</v>
      </c>
      <c r="B23">
        <v>4.0202309999999999</v>
      </c>
      <c r="C23" t="s">
        <v>8</v>
      </c>
      <c r="D23" t="s">
        <v>9</v>
      </c>
      <c r="E23" t="s">
        <v>14</v>
      </c>
      <c r="F23">
        <v>58</v>
      </c>
      <c r="G23">
        <v>8.5300000000000003E-4</v>
      </c>
      <c r="H23" t="s">
        <v>34</v>
      </c>
      <c r="J23">
        <f t="shared" si="0"/>
        <v>9.0000000000000008E-4</v>
      </c>
    </row>
    <row r="24" spans="1:10" x14ac:dyDescent="0.3">
      <c r="A24">
        <v>30</v>
      </c>
      <c r="B24">
        <v>4.0206549999999996</v>
      </c>
      <c r="C24" t="s">
        <v>9</v>
      </c>
      <c r="D24" t="s">
        <v>8</v>
      </c>
      <c r="E24" t="s">
        <v>10</v>
      </c>
      <c r="F24">
        <v>60</v>
      </c>
      <c r="G24">
        <v>4.2400000000000001E-4</v>
      </c>
      <c r="H24" t="s">
        <v>35</v>
      </c>
      <c r="J24">
        <f t="shared" si="0"/>
        <v>5.0000000000000001E-4</v>
      </c>
    </row>
    <row r="25" spans="1:10" x14ac:dyDescent="0.3">
      <c r="A25">
        <v>31</v>
      </c>
      <c r="B25">
        <v>4.0216640000000003</v>
      </c>
      <c r="C25" t="s">
        <v>9</v>
      </c>
      <c r="D25" t="s">
        <v>8</v>
      </c>
      <c r="E25" t="s">
        <v>14</v>
      </c>
      <c r="F25">
        <v>60</v>
      </c>
      <c r="G25">
        <v>1.0089999999999999E-3</v>
      </c>
      <c r="H25" t="s">
        <v>36</v>
      </c>
      <c r="J25">
        <f t="shared" si="0"/>
        <v>1.1000000000000001E-3</v>
      </c>
    </row>
    <row r="26" spans="1:10" x14ac:dyDescent="0.3">
      <c r="A26">
        <v>32</v>
      </c>
      <c r="B26">
        <v>4.0226509999999998</v>
      </c>
      <c r="C26" t="s">
        <v>8</v>
      </c>
      <c r="D26" t="s">
        <v>9</v>
      </c>
      <c r="E26" t="s">
        <v>14</v>
      </c>
      <c r="F26">
        <v>58</v>
      </c>
      <c r="G26">
        <v>9.8700000000000003E-4</v>
      </c>
      <c r="H26" t="s">
        <v>37</v>
      </c>
      <c r="J26">
        <f t="shared" si="0"/>
        <v>1E-3</v>
      </c>
    </row>
    <row r="27" spans="1:10" x14ac:dyDescent="0.3">
      <c r="A27">
        <v>33</v>
      </c>
      <c r="B27">
        <v>4.0639969999999996</v>
      </c>
      <c r="C27" t="s">
        <v>9</v>
      </c>
      <c r="D27" t="s">
        <v>8</v>
      </c>
      <c r="E27" t="s">
        <v>10</v>
      </c>
      <c r="F27">
        <v>60</v>
      </c>
      <c r="G27">
        <v>4.1346000000000001E-2</v>
      </c>
      <c r="H27" t="s">
        <v>38</v>
      </c>
      <c r="J27">
        <f t="shared" si="0"/>
        <v>4.1400000000000006E-2</v>
      </c>
    </row>
    <row r="28" spans="1:10" x14ac:dyDescent="0.3">
      <c r="A28">
        <v>34</v>
      </c>
      <c r="B28">
        <v>4.1637649999999997</v>
      </c>
      <c r="C28" t="s">
        <v>31</v>
      </c>
      <c r="D28" t="s">
        <v>8</v>
      </c>
      <c r="E28" t="s">
        <v>10</v>
      </c>
      <c r="F28">
        <v>66</v>
      </c>
      <c r="G28">
        <v>9.9767999999999996E-2</v>
      </c>
      <c r="H28" t="s">
        <v>39</v>
      </c>
      <c r="J28">
        <f t="shared" si="0"/>
        <v>9.98E-2</v>
      </c>
    </row>
    <row r="29" spans="1:10" x14ac:dyDescent="0.3">
      <c r="A29">
        <v>35</v>
      </c>
      <c r="B29">
        <v>4.8188599999999999</v>
      </c>
      <c r="C29" t="s">
        <v>8</v>
      </c>
      <c r="D29" t="s">
        <v>9</v>
      </c>
      <c r="E29" t="s">
        <v>14</v>
      </c>
      <c r="F29">
        <v>73</v>
      </c>
      <c r="G29">
        <v>0.65509499999999998</v>
      </c>
      <c r="H29" t="s">
        <v>40</v>
      </c>
      <c r="J29">
        <f t="shared" si="0"/>
        <v>0.65510000000000002</v>
      </c>
    </row>
    <row r="30" spans="1:10" x14ac:dyDescent="0.3">
      <c r="A30">
        <v>36</v>
      </c>
      <c r="B30">
        <v>4.8195639999999997</v>
      </c>
      <c r="C30" t="s">
        <v>9</v>
      </c>
      <c r="D30" t="s">
        <v>8</v>
      </c>
      <c r="E30" t="s">
        <v>10</v>
      </c>
      <c r="F30">
        <v>60</v>
      </c>
      <c r="G30">
        <v>7.0399999999999998E-4</v>
      </c>
      <c r="H30" t="s">
        <v>41</v>
      </c>
      <c r="J30">
        <f t="shared" si="0"/>
        <v>8.0000000000000004E-4</v>
      </c>
    </row>
    <row r="31" spans="1:10" x14ac:dyDescent="0.3">
      <c r="A31">
        <v>37</v>
      </c>
      <c r="B31">
        <v>4.8246719999999996</v>
      </c>
      <c r="C31" t="s">
        <v>9</v>
      </c>
      <c r="D31" t="s">
        <v>8</v>
      </c>
      <c r="E31" t="s">
        <v>14</v>
      </c>
      <c r="F31">
        <v>60</v>
      </c>
      <c r="G31">
        <v>5.1079999999999997E-3</v>
      </c>
      <c r="H31" t="s">
        <v>42</v>
      </c>
      <c r="J31">
        <f t="shared" si="0"/>
        <v>5.2000000000000006E-3</v>
      </c>
    </row>
    <row r="32" spans="1:10" x14ac:dyDescent="0.3">
      <c r="A32">
        <v>38</v>
      </c>
      <c r="B32">
        <v>4.8250400000000004</v>
      </c>
      <c r="C32" t="s">
        <v>9</v>
      </c>
      <c r="D32" t="s">
        <v>8</v>
      </c>
      <c r="E32" t="s">
        <v>14</v>
      </c>
      <c r="F32">
        <v>73</v>
      </c>
      <c r="G32">
        <v>3.68E-4</v>
      </c>
      <c r="H32" t="s">
        <v>43</v>
      </c>
      <c r="J32">
        <f t="shared" si="0"/>
        <v>3.9999999999999996E-4</v>
      </c>
    </row>
    <row r="33" spans="1:10" x14ac:dyDescent="0.3">
      <c r="A33">
        <v>39</v>
      </c>
      <c r="B33">
        <v>4.8250630000000001</v>
      </c>
      <c r="C33" t="s">
        <v>8</v>
      </c>
      <c r="D33" t="s">
        <v>9</v>
      </c>
      <c r="E33" t="s">
        <v>10</v>
      </c>
      <c r="F33">
        <v>54</v>
      </c>
      <c r="G33">
        <v>2.3E-5</v>
      </c>
      <c r="H33" t="s">
        <v>44</v>
      </c>
      <c r="J33">
        <f t="shared" si="0"/>
        <v>1E-4</v>
      </c>
    </row>
    <row r="34" spans="1:10" x14ac:dyDescent="0.3">
      <c r="A34">
        <v>40</v>
      </c>
      <c r="B34">
        <v>4.8253830000000004</v>
      </c>
      <c r="C34" t="s">
        <v>8</v>
      </c>
      <c r="D34" t="s">
        <v>9</v>
      </c>
      <c r="E34" t="s">
        <v>14</v>
      </c>
      <c r="F34">
        <v>58</v>
      </c>
      <c r="G34">
        <v>3.2000000000000003E-4</v>
      </c>
      <c r="H34" t="s">
        <v>45</v>
      </c>
      <c r="J34">
        <f t="shared" si="0"/>
        <v>3.9999999999999996E-4</v>
      </c>
    </row>
    <row r="35" spans="1:10" x14ac:dyDescent="0.3">
      <c r="A35">
        <v>41</v>
      </c>
      <c r="B35">
        <v>4.8266489999999997</v>
      </c>
      <c r="C35" t="s">
        <v>9</v>
      </c>
      <c r="D35" t="s">
        <v>8</v>
      </c>
      <c r="E35" t="s">
        <v>14</v>
      </c>
      <c r="F35">
        <v>60</v>
      </c>
      <c r="G35">
        <v>1.266E-3</v>
      </c>
      <c r="H35" t="s">
        <v>46</v>
      </c>
      <c r="J35">
        <f t="shared" si="0"/>
        <v>1.2999999999999999E-3</v>
      </c>
    </row>
    <row r="36" spans="1:10" x14ac:dyDescent="0.3">
      <c r="A36">
        <v>42</v>
      </c>
      <c r="B36">
        <v>4.8266780000000002</v>
      </c>
      <c r="C36" t="s">
        <v>8</v>
      </c>
      <c r="D36" t="s">
        <v>9</v>
      </c>
      <c r="E36" t="s">
        <v>14</v>
      </c>
      <c r="F36">
        <v>58</v>
      </c>
      <c r="G36">
        <v>2.9E-5</v>
      </c>
      <c r="H36" t="s">
        <v>47</v>
      </c>
      <c r="J36">
        <f t="shared" si="0"/>
        <v>1E-4</v>
      </c>
    </row>
    <row r="37" spans="1:10" x14ac:dyDescent="0.3">
      <c r="A37">
        <v>43</v>
      </c>
      <c r="B37">
        <v>4.8279439999999996</v>
      </c>
      <c r="C37" t="s">
        <v>9</v>
      </c>
      <c r="D37" t="s">
        <v>8</v>
      </c>
      <c r="E37" t="s">
        <v>14</v>
      </c>
      <c r="F37">
        <v>60</v>
      </c>
      <c r="G37">
        <v>1.266E-3</v>
      </c>
      <c r="H37" t="s">
        <v>48</v>
      </c>
      <c r="J37">
        <f t="shared" si="0"/>
        <v>1.2999999999999999E-3</v>
      </c>
    </row>
    <row r="38" spans="1:10" x14ac:dyDescent="0.3">
      <c r="A38">
        <v>44</v>
      </c>
      <c r="B38">
        <v>4.834981</v>
      </c>
      <c r="C38" t="s">
        <v>8</v>
      </c>
      <c r="D38" t="s">
        <v>9</v>
      </c>
      <c r="E38" t="s">
        <v>14</v>
      </c>
      <c r="F38">
        <v>58</v>
      </c>
      <c r="G38">
        <v>7.0369999999999999E-3</v>
      </c>
      <c r="H38" t="s">
        <v>49</v>
      </c>
      <c r="J38">
        <f t="shared" si="0"/>
        <v>7.1000000000000004E-3</v>
      </c>
    </row>
    <row r="39" spans="1:10" x14ac:dyDescent="0.3">
      <c r="A39">
        <v>45</v>
      </c>
      <c r="B39">
        <v>4.8760770000000004</v>
      </c>
      <c r="C39" t="s">
        <v>9</v>
      </c>
      <c r="D39" t="s">
        <v>8</v>
      </c>
      <c r="E39" t="s">
        <v>10</v>
      </c>
      <c r="F39">
        <v>60</v>
      </c>
      <c r="G39">
        <v>4.1096000000000001E-2</v>
      </c>
      <c r="H39" t="s">
        <v>50</v>
      </c>
      <c r="J39">
        <f t="shared" si="0"/>
        <v>4.1100000000000005E-2</v>
      </c>
    </row>
    <row r="40" spans="1:10" x14ac:dyDescent="0.3">
      <c r="A40">
        <v>46</v>
      </c>
      <c r="B40">
        <v>4.9148639999999997</v>
      </c>
      <c r="C40" t="s">
        <v>8</v>
      </c>
      <c r="D40" t="s">
        <v>51</v>
      </c>
      <c r="E40" t="s">
        <v>10</v>
      </c>
      <c r="F40">
        <v>66</v>
      </c>
      <c r="G40">
        <v>3.8787000000000002E-2</v>
      </c>
      <c r="H40" t="s">
        <v>52</v>
      </c>
      <c r="J40">
        <f t="shared" si="0"/>
        <v>3.8800000000000001E-2</v>
      </c>
    </row>
    <row r="41" spans="1:10" x14ac:dyDescent="0.3">
      <c r="A41">
        <v>49</v>
      </c>
      <c r="B41">
        <v>5.4846360000000001</v>
      </c>
      <c r="C41" t="s">
        <v>9</v>
      </c>
      <c r="D41" t="s">
        <v>8</v>
      </c>
      <c r="E41" t="s">
        <v>14</v>
      </c>
      <c r="F41">
        <v>73</v>
      </c>
      <c r="G41">
        <v>0.56977199999999995</v>
      </c>
      <c r="H41" t="s">
        <v>53</v>
      </c>
      <c r="J41">
        <f t="shared" si="0"/>
        <v>0.56979999999999997</v>
      </c>
    </row>
    <row r="42" spans="1:10" x14ac:dyDescent="0.3">
      <c r="A42">
        <v>50</v>
      </c>
      <c r="B42">
        <v>5.4855919999999996</v>
      </c>
      <c r="C42" t="s">
        <v>8</v>
      </c>
      <c r="D42" t="s">
        <v>9</v>
      </c>
      <c r="E42" t="s">
        <v>14</v>
      </c>
      <c r="F42">
        <v>58</v>
      </c>
      <c r="G42">
        <v>9.5600000000000004E-4</v>
      </c>
      <c r="H42" t="s">
        <v>54</v>
      </c>
      <c r="J42">
        <f t="shared" si="0"/>
        <v>1E-3</v>
      </c>
    </row>
    <row r="43" spans="1:10" x14ac:dyDescent="0.3">
      <c r="A43">
        <v>51</v>
      </c>
      <c r="B43">
        <v>5.4859090000000004</v>
      </c>
      <c r="C43" t="s">
        <v>9</v>
      </c>
      <c r="D43" t="s">
        <v>8</v>
      </c>
      <c r="E43" t="s">
        <v>10</v>
      </c>
      <c r="F43">
        <v>60</v>
      </c>
      <c r="G43">
        <v>3.1700000000000001E-4</v>
      </c>
      <c r="H43" t="s">
        <v>55</v>
      </c>
      <c r="J43">
        <f t="shared" si="0"/>
        <v>3.9999999999999996E-4</v>
      </c>
    </row>
    <row r="44" spans="1:10" x14ac:dyDescent="0.3">
      <c r="A44">
        <v>52</v>
      </c>
      <c r="B44">
        <v>5.4867980000000003</v>
      </c>
      <c r="C44" t="s">
        <v>9</v>
      </c>
      <c r="D44" t="s">
        <v>8</v>
      </c>
      <c r="E44" t="s">
        <v>14</v>
      </c>
      <c r="F44">
        <v>60</v>
      </c>
      <c r="G44">
        <v>8.8900000000000003E-4</v>
      </c>
      <c r="H44" t="s">
        <v>56</v>
      </c>
      <c r="J44">
        <f t="shared" si="0"/>
        <v>9.0000000000000008E-4</v>
      </c>
    </row>
    <row r="45" spans="1:10" x14ac:dyDescent="0.3">
      <c r="A45">
        <v>53</v>
      </c>
      <c r="B45">
        <v>5.4875639999999999</v>
      </c>
      <c r="C45" t="s">
        <v>8</v>
      </c>
      <c r="D45" t="s">
        <v>9</v>
      </c>
      <c r="E45" t="s">
        <v>14</v>
      </c>
      <c r="F45">
        <v>58</v>
      </c>
      <c r="G45">
        <v>7.6599999999999997E-4</v>
      </c>
      <c r="H45" t="s">
        <v>57</v>
      </c>
      <c r="J45">
        <f t="shared" si="0"/>
        <v>8.0000000000000004E-4</v>
      </c>
    </row>
    <row r="46" spans="1:10" x14ac:dyDescent="0.3">
      <c r="A46">
        <v>54</v>
      </c>
      <c r="B46">
        <v>5.5321109999999996</v>
      </c>
      <c r="C46" t="s">
        <v>9</v>
      </c>
      <c r="D46" t="s">
        <v>8</v>
      </c>
      <c r="E46" t="s">
        <v>10</v>
      </c>
      <c r="F46">
        <v>60</v>
      </c>
      <c r="G46">
        <v>4.4547000000000003E-2</v>
      </c>
      <c r="H46" t="s">
        <v>58</v>
      </c>
      <c r="J46">
        <f t="shared" si="0"/>
        <v>4.4600000000000001E-2</v>
      </c>
    </row>
    <row r="47" spans="1:10" x14ac:dyDescent="0.3">
      <c r="A47">
        <v>55</v>
      </c>
      <c r="B47">
        <v>5.9214849999999997</v>
      </c>
      <c r="C47" t="s">
        <v>8</v>
      </c>
      <c r="D47" t="s">
        <v>51</v>
      </c>
      <c r="E47" t="s">
        <v>10</v>
      </c>
      <c r="F47">
        <v>66</v>
      </c>
      <c r="G47">
        <v>0.389374</v>
      </c>
      <c r="H47" t="s">
        <v>59</v>
      </c>
      <c r="J47">
        <f t="shared" si="0"/>
        <v>0.38939999999999997</v>
      </c>
    </row>
    <row r="48" spans="1:10" x14ac:dyDescent="0.3">
      <c r="A48">
        <v>57</v>
      </c>
      <c r="B48">
        <v>6.1092880000000003</v>
      </c>
      <c r="C48" t="s">
        <v>8</v>
      </c>
      <c r="D48" t="s">
        <v>9</v>
      </c>
      <c r="E48" t="s">
        <v>14</v>
      </c>
      <c r="F48">
        <v>73</v>
      </c>
      <c r="G48">
        <v>0.187803</v>
      </c>
      <c r="H48" t="s">
        <v>60</v>
      </c>
      <c r="J48">
        <f t="shared" si="0"/>
        <v>0.18789999999999998</v>
      </c>
    </row>
    <row r="49" spans="1:10" x14ac:dyDescent="0.3">
      <c r="A49">
        <v>58</v>
      </c>
      <c r="B49">
        <v>6.1099399999999999</v>
      </c>
      <c r="C49" t="s">
        <v>9</v>
      </c>
      <c r="D49" t="s">
        <v>8</v>
      </c>
      <c r="E49" t="s">
        <v>10</v>
      </c>
      <c r="F49">
        <v>60</v>
      </c>
      <c r="G49">
        <v>6.5200000000000002E-4</v>
      </c>
      <c r="H49" t="s">
        <v>61</v>
      </c>
      <c r="J49">
        <f t="shared" si="0"/>
        <v>6.9999999999999999E-4</v>
      </c>
    </row>
    <row r="50" spans="1:10" x14ac:dyDescent="0.3">
      <c r="A50">
        <v>59</v>
      </c>
      <c r="B50">
        <v>6.1149750000000003</v>
      </c>
      <c r="C50" t="s">
        <v>9</v>
      </c>
      <c r="D50" t="s">
        <v>8</v>
      </c>
      <c r="E50" t="s">
        <v>14</v>
      </c>
      <c r="F50">
        <v>60</v>
      </c>
      <c r="G50">
        <v>5.0350000000000004E-3</v>
      </c>
      <c r="H50" t="s">
        <v>62</v>
      </c>
      <c r="J50">
        <f t="shared" si="0"/>
        <v>5.1000000000000004E-3</v>
      </c>
    </row>
    <row r="51" spans="1:10" x14ac:dyDescent="0.3">
      <c r="A51">
        <v>60</v>
      </c>
      <c r="B51">
        <v>6.1155419999999996</v>
      </c>
      <c r="C51" t="s">
        <v>8</v>
      </c>
      <c r="D51" t="s">
        <v>9</v>
      </c>
      <c r="E51" t="s">
        <v>14</v>
      </c>
      <c r="F51">
        <v>58</v>
      </c>
      <c r="G51">
        <v>5.6700000000000001E-4</v>
      </c>
      <c r="H51" t="s">
        <v>63</v>
      </c>
      <c r="J51">
        <f t="shared" si="0"/>
        <v>6.0000000000000006E-4</v>
      </c>
    </row>
    <row r="52" spans="1:10" x14ac:dyDescent="0.3">
      <c r="A52">
        <v>61</v>
      </c>
      <c r="B52">
        <v>6.1157490000000001</v>
      </c>
      <c r="C52" t="s">
        <v>9</v>
      </c>
      <c r="D52" t="s">
        <v>8</v>
      </c>
      <c r="E52" t="s">
        <v>14</v>
      </c>
      <c r="F52">
        <v>73</v>
      </c>
      <c r="G52">
        <v>2.0699999999999999E-4</v>
      </c>
      <c r="H52" t="s">
        <v>64</v>
      </c>
      <c r="J52">
        <f t="shared" si="0"/>
        <v>3.0000000000000003E-4</v>
      </c>
    </row>
    <row r="53" spans="1:10" x14ac:dyDescent="0.3">
      <c r="A53">
        <v>62</v>
      </c>
      <c r="B53">
        <v>6.1167420000000003</v>
      </c>
      <c r="C53" t="s">
        <v>9</v>
      </c>
      <c r="D53" t="s">
        <v>8</v>
      </c>
      <c r="E53" t="s">
        <v>14</v>
      </c>
      <c r="F53">
        <v>60</v>
      </c>
      <c r="G53">
        <v>9.9299999999999996E-4</v>
      </c>
      <c r="H53" t="s">
        <v>65</v>
      </c>
      <c r="J53">
        <f t="shared" si="0"/>
        <v>1E-3</v>
      </c>
    </row>
    <row r="54" spans="1:10" x14ac:dyDescent="0.3">
      <c r="A54">
        <v>63</v>
      </c>
      <c r="B54">
        <v>6.1167699999999998</v>
      </c>
      <c r="C54" t="s">
        <v>8</v>
      </c>
      <c r="D54" t="s">
        <v>9</v>
      </c>
      <c r="E54" t="s">
        <v>14</v>
      </c>
      <c r="F54">
        <v>58</v>
      </c>
      <c r="G54">
        <v>2.8E-5</v>
      </c>
      <c r="H54" t="s">
        <v>66</v>
      </c>
      <c r="J54">
        <f t="shared" si="0"/>
        <v>1E-4</v>
      </c>
    </row>
    <row r="55" spans="1:10" x14ac:dyDescent="0.3">
      <c r="A55">
        <v>64</v>
      </c>
      <c r="B55">
        <v>6.117877</v>
      </c>
      <c r="C55" t="s">
        <v>9</v>
      </c>
      <c r="D55" t="s">
        <v>8</v>
      </c>
      <c r="E55" t="s">
        <v>14</v>
      </c>
      <c r="F55">
        <v>60</v>
      </c>
      <c r="G55">
        <v>1.1069999999999999E-3</v>
      </c>
      <c r="H55" t="s">
        <v>67</v>
      </c>
      <c r="J55">
        <f t="shared" si="0"/>
        <v>1.2000000000000001E-3</v>
      </c>
    </row>
    <row r="56" spans="1:10" x14ac:dyDescent="0.3">
      <c r="A56">
        <v>65</v>
      </c>
      <c r="B56">
        <v>6.126118</v>
      </c>
      <c r="C56" t="s">
        <v>8</v>
      </c>
      <c r="D56" t="s">
        <v>9</v>
      </c>
      <c r="E56" t="s">
        <v>14</v>
      </c>
      <c r="F56">
        <v>58</v>
      </c>
      <c r="G56">
        <v>8.2410000000000001E-3</v>
      </c>
      <c r="H56" t="s">
        <v>68</v>
      </c>
      <c r="J56">
        <f t="shared" si="0"/>
        <v>8.3000000000000001E-3</v>
      </c>
    </row>
    <row r="57" spans="1:10" x14ac:dyDescent="0.3">
      <c r="A57">
        <v>66</v>
      </c>
      <c r="B57">
        <v>6.1684489999999998</v>
      </c>
      <c r="C57" t="s">
        <v>9</v>
      </c>
      <c r="D57" t="s">
        <v>8</v>
      </c>
      <c r="E57" t="s">
        <v>10</v>
      </c>
      <c r="F57">
        <v>60</v>
      </c>
      <c r="G57">
        <v>4.2331000000000001E-2</v>
      </c>
      <c r="H57" t="s">
        <v>69</v>
      </c>
      <c r="J57">
        <f t="shared" si="0"/>
        <v>4.24E-2</v>
      </c>
    </row>
    <row r="58" spans="1:10" x14ac:dyDescent="0.3">
      <c r="A58">
        <v>67</v>
      </c>
      <c r="B58">
        <v>6.8566969999999996</v>
      </c>
      <c r="C58" t="s">
        <v>9</v>
      </c>
      <c r="D58" t="s">
        <v>8</v>
      </c>
      <c r="E58" t="s">
        <v>14</v>
      </c>
      <c r="F58">
        <v>73</v>
      </c>
      <c r="G58">
        <v>0.68824799999999997</v>
      </c>
      <c r="H58" t="s">
        <v>70</v>
      </c>
      <c r="J58">
        <f t="shared" si="0"/>
        <v>0.68830000000000002</v>
      </c>
    </row>
    <row r="59" spans="1:10" x14ac:dyDescent="0.3">
      <c r="A59">
        <v>68</v>
      </c>
      <c r="B59">
        <v>6.8577339999999998</v>
      </c>
      <c r="C59" t="s">
        <v>8</v>
      </c>
      <c r="D59" t="s">
        <v>9</v>
      </c>
      <c r="E59" t="s">
        <v>14</v>
      </c>
      <c r="F59">
        <v>58</v>
      </c>
      <c r="G59">
        <v>1.0369999999999999E-3</v>
      </c>
      <c r="H59" t="s">
        <v>71</v>
      </c>
      <c r="J59">
        <f t="shared" si="0"/>
        <v>1.1000000000000001E-3</v>
      </c>
    </row>
    <row r="60" spans="1:10" x14ac:dyDescent="0.3">
      <c r="A60">
        <v>69</v>
      </c>
      <c r="B60">
        <v>6.8580230000000002</v>
      </c>
      <c r="C60" t="s">
        <v>9</v>
      </c>
      <c r="D60" t="s">
        <v>8</v>
      </c>
      <c r="E60" t="s">
        <v>10</v>
      </c>
      <c r="F60">
        <v>60</v>
      </c>
      <c r="G60">
        <v>2.8899999999999998E-4</v>
      </c>
      <c r="H60" t="s">
        <v>72</v>
      </c>
      <c r="J60">
        <f t="shared" si="0"/>
        <v>3.0000000000000003E-4</v>
      </c>
    </row>
    <row r="61" spans="1:10" x14ac:dyDescent="0.3">
      <c r="A61">
        <v>70</v>
      </c>
      <c r="B61">
        <v>6.8585669999999999</v>
      </c>
      <c r="C61" t="s">
        <v>9</v>
      </c>
      <c r="D61" t="s">
        <v>8</v>
      </c>
      <c r="E61" t="s">
        <v>14</v>
      </c>
      <c r="F61">
        <v>60</v>
      </c>
      <c r="G61">
        <v>5.44E-4</v>
      </c>
      <c r="H61" t="s">
        <v>73</v>
      </c>
      <c r="J61">
        <f t="shared" si="0"/>
        <v>6.0000000000000006E-4</v>
      </c>
    </row>
    <row r="62" spans="1:10" x14ac:dyDescent="0.3">
      <c r="A62">
        <v>71</v>
      </c>
      <c r="B62">
        <v>6.859362</v>
      </c>
      <c r="C62" t="s">
        <v>8</v>
      </c>
      <c r="D62" t="s">
        <v>9</v>
      </c>
      <c r="E62" t="s">
        <v>14</v>
      </c>
      <c r="F62">
        <v>58</v>
      </c>
      <c r="G62">
        <v>7.9500000000000003E-4</v>
      </c>
      <c r="H62" t="s">
        <v>74</v>
      </c>
      <c r="J62">
        <f t="shared" si="0"/>
        <v>8.0000000000000004E-4</v>
      </c>
    </row>
    <row r="63" spans="1:10" x14ac:dyDescent="0.3">
      <c r="A63">
        <v>72</v>
      </c>
      <c r="B63">
        <v>6.8999459999999999</v>
      </c>
      <c r="C63" t="s">
        <v>9</v>
      </c>
      <c r="D63" t="s">
        <v>8</v>
      </c>
      <c r="E63" t="s">
        <v>10</v>
      </c>
      <c r="F63">
        <v>60</v>
      </c>
      <c r="G63">
        <v>4.0584000000000002E-2</v>
      </c>
      <c r="H63" t="s">
        <v>75</v>
      </c>
      <c r="J63">
        <f t="shared" si="0"/>
        <v>4.0600000000000004E-2</v>
      </c>
    </row>
    <row r="64" spans="1:10" x14ac:dyDescent="0.3">
      <c r="A64">
        <v>73</v>
      </c>
      <c r="B64">
        <v>7.4297029999999999</v>
      </c>
      <c r="C64" t="s">
        <v>8</v>
      </c>
      <c r="D64" t="s">
        <v>9</v>
      </c>
      <c r="E64" t="s">
        <v>14</v>
      </c>
      <c r="F64">
        <v>73</v>
      </c>
      <c r="G64">
        <v>0.52975700000000003</v>
      </c>
      <c r="H64" t="s">
        <v>76</v>
      </c>
      <c r="J64">
        <f t="shared" si="0"/>
        <v>0.52979999999999994</v>
      </c>
    </row>
    <row r="65" spans="1:10" x14ac:dyDescent="0.3">
      <c r="A65">
        <v>74</v>
      </c>
      <c r="B65">
        <v>7.4303299999999997</v>
      </c>
      <c r="C65" t="s">
        <v>9</v>
      </c>
      <c r="D65" t="s">
        <v>8</v>
      </c>
      <c r="E65" t="s">
        <v>10</v>
      </c>
      <c r="F65">
        <v>60</v>
      </c>
      <c r="G65">
        <v>6.2699999999999995E-4</v>
      </c>
      <c r="H65" t="s">
        <v>77</v>
      </c>
      <c r="J65">
        <f t="shared" si="0"/>
        <v>6.9999999999999999E-4</v>
      </c>
    </row>
    <row r="66" spans="1:10" x14ac:dyDescent="0.3">
      <c r="A66">
        <v>75</v>
      </c>
      <c r="B66">
        <v>7.4348029999999996</v>
      </c>
      <c r="C66" t="s">
        <v>9</v>
      </c>
      <c r="D66" t="s">
        <v>8</v>
      </c>
      <c r="E66" t="s">
        <v>14</v>
      </c>
      <c r="F66">
        <v>60</v>
      </c>
      <c r="G66">
        <v>4.4730000000000004E-3</v>
      </c>
      <c r="H66" t="s">
        <v>78</v>
      </c>
      <c r="J66">
        <f t="shared" si="0"/>
        <v>4.5000000000000005E-3</v>
      </c>
    </row>
    <row r="67" spans="1:10" x14ac:dyDescent="0.3">
      <c r="A67">
        <v>76</v>
      </c>
      <c r="B67">
        <v>7.4354240000000003</v>
      </c>
      <c r="C67" t="s">
        <v>8</v>
      </c>
      <c r="D67" t="s">
        <v>9</v>
      </c>
      <c r="E67" t="s">
        <v>14</v>
      </c>
      <c r="F67">
        <v>58</v>
      </c>
      <c r="G67">
        <v>6.2100000000000002E-4</v>
      </c>
      <c r="H67" t="s">
        <v>79</v>
      </c>
      <c r="J67">
        <f t="shared" si="0"/>
        <v>6.9999999999999999E-4</v>
      </c>
    </row>
    <row r="68" spans="1:10" x14ac:dyDescent="0.3">
      <c r="A68">
        <v>77</v>
      </c>
      <c r="B68">
        <v>7.4361170000000003</v>
      </c>
      <c r="C68" t="s">
        <v>9</v>
      </c>
      <c r="D68" t="s">
        <v>8</v>
      </c>
      <c r="E68" t="s">
        <v>14</v>
      </c>
      <c r="F68">
        <v>73</v>
      </c>
      <c r="G68">
        <v>6.9300000000000004E-4</v>
      </c>
      <c r="H68" t="s">
        <v>80</v>
      </c>
      <c r="J68">
        <f t="shared" ref="J68:J131" si="1">ROUNDUP(G68,4)</f>
        <v>6.9999999999999999E-4</v>
      </c>
    </row>
    <row r="69" spans="1:10" x14ac:dyDescent="0.3">
      <c r="A69">
        <v>78</v>
      </c>
      <c r="B69">
        <v>7.4367570000000001</v>
      </c>
      <c r="C69" t="s">
        <v>8</v>
      </c>
      <c r="D69" t="s">
        <v>9</v>
      </c>
      <c r="E69" t="s">
        <v>14</v>
      </c>
      <c r="F69">
        <v>58</v>
      </c>
      <c r="G69">
        <v>6.4000000000000005E-4</v>
      </c>
      <c r="H69" t="s">
        <v>81</v>
      </c>
      <c r="J69">
        <f t="shared" si="1"/>
        <v>6.9999999999999999E-4</v>
      </c>
    </row>
    <row r="70" spans="1:10" x14ac:dyDescent="0.3">
      <c r="A70">
        <v>79</v>
      </c>
      <c r="B70">
        <v>7.437875</v>
      </c>
      <c r="C70" t="s">
        <v>9</v>
      </c>
      <c r="D70" t="s">
        <v>8</v>
      </c>
      <c r="E70" t="s">
        <v>14</v>
      </c>
      <c r="F70">
        <v>60</v>
      </c>
      <c r="G70">
        <v>1.1180000000000001E-3</v>
      </c>
      <c r="H70" t="s">
        <v>82</v>
      </c>
      <c r="J70">
        <f t="shared" si="1"/>
        <v>1.2000000000000001E-3</v>
      </c>
    </row>
    <row r="71" spans="1:10" x14ac:dyDescent="0.3">
      <c r="A71">
        <v>80</v>
      </c>
      <c r="B71">
        <v>7.4385770000000004</v>
      </c>
      <c r="C71" t="s">
        <v>9</v>
      </c>
      <c r="D71" t="s">
        <v>8</v>
      </c>
      <c r="E71" t="s">
        <v>14</v>
      </c>
      <c r="F71">
        <v>60</v>
      </c>
      <c r="G71">
        <v>7.0200000000000004E-4</v>
      </c>
      <c r="H71" t="s">
        <v>83</v>
      </c>
      <c r="J71">
        <f t="shared" si="1"/>
        <v>8.0000000000000004E-4</v>
      </c>
    </row>
    <row r="72" spans="1:10" x14ac:dyDescent="0.3">
      <c r="A72">
        <v>81</v>
      </c>
      <c r="B72">
        <v>7.4386029999999996</v>
      </c>
      <c r="C72" t="s">
        <v>8</v>
      </c>
      <c r="D72" t="s">
        <v>9</v>
      </c>
      <c r="E72" t="s">
        <v>10</v>
      </c>
      <c r="F72">
        <v>54</v>
      </c>
      <c r="G72">
        <v>2.5999999999999998E-5</v>
      </c>
      <c r="H72" t="s">
        <v>84</v>
      </c>
      <c r="J72">
        <f t="shared" si="1"/>
        <v>1E-4</v>
      </c>
    </row>
    <row r="73" spans="1:10" x14ac:dyDescent="0.3">
      <c r="A73">
        <v>82</v>
      </c>
      <c r="B73">
        <v>7.4457659999999999</v>
      </c>
      <c r="C73" t="s">
        <v>8</v>
      </c>
      <c r="D73" t="s">
        <v>9</v>
      </c>
      <c r="E73" t="s">
        <v>14</v>
      </c>
      <c r="F73">
        <v>58</v>
      </c>
      <c r="G73">
        <v>7.1630000000000001E-3</v>
      </c>
      <c r="H73" t="s">
        <v>85</v>
      </c>
      <c r="J73">
        <f t="shared" si="1"/>
        <v>7.2000000000000007E-3</v>
      </c>
    </row>
    <row r="74" spans="1:10" x14ac:dyDescent="0.3">
      <c r="A74">
        <v>83</v>
      </c>
      <c r="B74">
        <v>7.4880389999999997</v>
      </c>
      <c r="C74" t="s">
        <v>9</v>
      </c>
      <c r="D74" t="s">
        <v>8</v>
      </c>
      <c r="E74" t="s">
        <v>10</v>
      </c>
      <c r="F74">
        <v>60</v>
      </c>
      <c r="G74">
        <v>4.2272999999999998E-2</v>
      </c>
      <c r="H74" t="s">
        <v>86</v>
      </c>
      <c r="J74">
        <f t="shared" si="1"/>
        <v>4.2300000000000004E-2</v>
      </c>
    </row>
    <row r="75" spans="1:10" x14ac:dyDescent="0.3">
      <c r="A75">
        <v>84</v>
      </c>
      <c r="B75">
        <v>7.9293480000000001</v>
      </c>
      <c r="C75" t="s">
        <v>8</v>
      </c>
      <c r="D75" t="s">
        <v>51</v>
      </c>
      <c r="E75" t="s">
        <v>10</v>
      </c>
      <c r="F75">
        <v>66</v>
      </c>
      <c r="G75">
        <v>0.44130900000000001</v>
      </c>
      <c r="H75" t="s">
        <v>59</v>
      </c>
      <c r="J75">
        <f t="shared" si="1"/>
        <v>0.44140000000000001</v>
      </c>
    </row>
    <row r="76" spans="1:10" x14ac:dyDescent="0.3">
      <c r="A76">
        <v>86</v>
      </c>
      <c r="B76">
        <v>8.176482</v>
      </c>
      <c r="C76" t="s">
        <v>9</v>
      </c>
      <c r="D76" t="s">
        <v>8</v>
      </c>
      <c r="E76" t="s">
        <v>14</v>
      </c>
      <c r="F76">
        <v>73</v>
      </c>
      <c r="G76">
        <v>0.24713399999999999</v>
      </c>
      <c r="H76" t="s">
        <v>87</v>
      </c>
      <c r="J76">
        <f t="shared" si="1"/>
        <v>0.24719999999999998</v>
      </c>
    </row>
    <row r="77" spans="1:10" x14ac:dyDescent="0.3">
      <c r="A77">
        <v>87</v>
      </c>
      <c r="B77">
        <v>8.1776020000000003</v>
      </c>
      <c r="C77" t="s">
        <v>8</v>
      </c>
      <c r="D77" t="s">
        <v>9</v>
      </c>
      <c r="E77" t="s">
        <v>14</v>
      </c>
      <c r="F77">
        <v>58</v>
      </c>
      <c r="G77">
        <v>1.1199999999999999E-3</v>
      </c>
      <c r="H77" t="s">
        <v>88</v>
      </c>
      <c r="J77">
        <f t="shared" si="1"/>
        <v>1.2000000000000001E-3</v>
      </c>
    </row>
    <row r="78" spans="1:10" x14ac:dyDescent="0.3">
      <c r="A78">
        <v>88</v>
      </c>
      <c r="B78">
        <v>8.1779580000000003</v>
      </c>
      <c r="C78" t="s">
        <v>9</v>
      </c>
      <c r="D78" t="s">
        <v>8</v>
      </c>
      <c r="E78" t="s">
        <v>10</v>
      </c>
      <c r="F78">
        <v>60</v>
      </c>
      <c r="G78">
        <v>3.5599999999999998E-4</v>
      </c>
      <c r="H78" t="s">
        <v>89</v>
      </c>
      <c r="J78">
        <f t="shared" si="1"/>
        <v>3.9999999999999996E-4</v>
      </c>
    </row>
    <row r="79" spans="1:10" x14ac:dyDescent="0.3">
      <c r="A79">
        <v>89</v>
      </c>
      <c r="B79">
        <v>8.1794220000000006</v>
      </c>
      <c r="C79" t="s">
        <v>9</v>
      </c>
      <c r="D79" t="s">
        <v>8</v>
      </c>
      <c r="E79" t="s">
        <v>14</v>
      </c>
      <c r="F79">
        <v>60</v>
      </c>
      <c r="G79">
        <v>1.464E-3</v>
      </c>
      <c r="H79" t="s">
        <v>90</v>
      </c>
      <c r="J79">
        <f t="shared" si="1"/>
        <v>1.5E-3</v>
      </c>
    </row>
    <row r="80" spans="1:10" x14ac:dyDescent="0.3">
      <c r="A80">
        <v>90</v>
      </c>
      <c r="B80">
        <v>8.1805889999999994</v>
      </c>
      <c r="C80" t="s">
        <v>8</v>
      </c>
      <c r="D80" t="s">
        <v>9</v>
      </c>
      <c r="E80" t="s">
        <v>14</v>
      </c>
      <c r="F80">
        <v>58</v>
      </c>
      <c r="G80">
        <v>1.1670000000000001E-3</v>
      </c>
      <c r="H80" t="s">
        <v>91</v>
      </c>
      <c r="J80">
        <f t="shared" si="1"/>
        <v>1.2000000000000001E-3</v>
      </c>
    </row>
    <row r="81" spans="1:10" x14ac:dyDescent="0.3">
      <c r="A81">
        <v>91</v>
      </c>
      <c r="B81">
        <v>8.2241280000000003</v>
      </c>
      <c r="C81" t="s">
        <v>9</v>
      </c>
      <c r="D81" t="s">
        <v>8</v>
      </c>
      <c r="E81" t="s">
        <v>10</v>
      </c>
      <c r="F81">
        <v>60</v>
      </c>
      <c r="G81">
        <v>4.3539000000000001E-2</v>
      </c>
      <c r="H81" t="s">
        <v>92</v>
      </c>
      <c r="J81">
        <f t="shared" si="1"/>
        <v>4.36E-2</v>
      </c>
    </row>
    <row r="82" spans="1:10" x14ac:dyDescent="0.3">
      <c r="A82">
        <v>92</v>
      </c>
      <c r="B82">
        <v>8.7517630000000004</v>
      </c>
      <c r="C82" t="s">
        <v>8</v>
      </c>
      <c r="D82" t="s">
        <v>9</v>
      </c>
      <c r="E82" t="s">
        <v>14</v>
      </c>
      <c r="F82">
        <v>73</v>
      </c>
      <c r="G82">
        <v>0.52763499999999997</v>
      </c>
      <c r="H82" t="s">
        <v>93</v>
      </c>
      <c r="J82">
        <f t="shared" si="1"/>
        <v>0.52769999999999995</v>
      </c>
    </row>
    <row r="83" spans="1:10" x14ac:dyDescent="0.3">
      <c r="A83">
        <v>93</v>
      </c>
      <c r="B83">
        <v>8.7524449999999998</v>
      </c>
      <c r="C83" t="s">
        <v>9</v>
      </c>
      <c r="D83" t="s">
        <v>8</v>
      </c>
      <c r="E83" t="s">
        <v>10</v>
      </c>
      <c r="F83">
        <v>60</v>
      </c>
      <c r="G83">
        <v>6.8199999999999999E-4</v>
      </c>
      <c r="H83" t="s">
        <v>94</v>
      </c>
      <c r="J83">
        <f t="shared" si="1"/>
        <v>6.9999999999999999E-4</v>
      </c>
    </row>
    <row r="84" spans="1:10" x14ac:dyDescent="0.3">
      <c r="A84">
        <v>94</v>
      </c>
      <c r="B84">
        <v>8.7577590000000001</v>
      </c>
      <c r="C84" t="s">
        <v>9</v>
      </c>
      <c r="D84" t="s">
        <v>8</v>
      </c>
      <c r="E84" t="s">
        <v>14</v>
      </c>
      <c r="F84">
        <v>60</v>
      </c>
      <c r="G84">
        <v>5.3140000000000001E-3</v>
      </c>
      <c r="H84" t="s">
        <v>95</v>
      </c>
      <c r="J84">
        <f t="shared" si="1"/>
        <v>5.4000000000000003E-3</v>
      </c>
    </row>
    <row r="85" spans="1:10" x14ac:dyDescent="0.3">
      <c r="A85">
        <v>95</v>
      </c>
      <c r="B85">
        <v>8.7581290000000003</v>
      </c>
      <c r="C85" t="s">
        <v>9</v>
      </c>
      <c r="D85" t="s">
        <v>8</v>
      </c>
      <c r="E85" t="s">
        <v>14</v>
      </c>
      <c r="F85">
        <v>73</v>
      </c>
      <c r="G85">
        <v>3.6999999999999999E-4</v>
      </c>
      <c r="H85" t="s">
        <v>96</v>
      </c>
      <c r="J85">
        <f t="shared" si="1"/>
        <v>3.9999999999999996E-4</v>
      </c>
    </row>
    <row r="86" spans="1:10" x14ac:dyDescent="0.3">
      <c r="A86">
        <v>96</v>
      </c>
      <c r="B86">
        <v>8.7581530000000001</v>
      </c>
      <c r="C86" t="s">
        <v>8</v>
      </c>
      <c r="D86" t="s">
        <v>9</v>
      </c>
      <c r="E86" t="s">
        <v>10</v>
      </c>
      <c r="F86">
        <v>54</v>
      </c>
      <c r="G86">
        <v>2.4000000000000001E-5</v>
      </c>
      <c r="H86" t="s">
        <v>97</v>
      </c>
      <c r="J86">
        <f t="shared" si="1"/>
        <v>1E-4</v>
      </c>
    </row>
    <row r="87" spans="1:10" x14ac:dyDescent="0.3">
      <c r="A87">
        <v>97</v>
      </c>
      <c r="B87">
        <v>8.7583380000000002</v>
      </c>
      <c r="C87" t="s">
        <v>8</v>
      </c>
      <c r="D87" t="s">
        <v>9</v>
      </c>
      <c r="E87" t="s">
        <v>14</v>
      </c>
      <c r="F87">
        <v>58</v>
      </c>
      <c r="G87">
        <v>1.85E-4</v>
      </c>
      <c r="H87" t="s">
        <v>98</v>
      </c>
      <c r="J87">
        <f t="shared" si="1"/>
        <v>2.0000000000000001E-4</v>
      </c>
    </row>
    <row r="88" spans="1:10" x14ac:dyDescent="0.3">
      <c r="A88">
        <v>98</v>
      </c>
      <c r="B88">
        <v>8.759442</v>
      </c>
      <c r="C88" t="s">
        <v>9</v>
      </c>
      <c r="D88" t="s">
        <v>8</v>
      </c>
      <c r="E88" t="s">
        <v>14</v>
      </c>
      <c r="F88">
        <v>60</v>
      </c>
      <c r="G88">
        <v>1.1039999999999999E-3</v>
      </c>
      <c r="H88" t="s">
        <v>99</v>
      </c>
      <c r="J88">
        <f t="shared" si="1"/>
        <v>1.2000000000000001E-3</v>
      </c>
    </row>
    <row r="89" spans="1:10" x14ac:dyDescent="0.3">
      <c r="A89">
        <v>99</v>
      </c>
      <c r="B89">
        <v>8.7594700000000003</v>
      </c>
      <c r="C89" t="s">
        <v>8</v>
      </c>
      <c r="D89" t="s">
        <v>9</v>
      </c>
      <c r="E89" t="s">
        <v>14</v>
      </c>
      <c r="F89">
        <v>58</v>
      </c>
      <c r="G89">
        <v>2.8E-5</v>
      </c>
      <c r="H89" t="s">
        <v>100</v>
      </c>
      <c r="J89">
        <f t="shared" si="1"/>
        <v>1E-4</v>
      </c>
    </row>
    <row r="90" spans="1:10" x14ac:dyDescent="0.3">
      <c r="A90">
        <v>100</v>
      </c>
      <c r="B90">
        <v>8.7604260000000007</v>
      </c>
      <c r="C90" t="s">
        <v>9</v>
      </c>
      <c r="D90" t="s">
        <v>8</v>
      </c>
      <c r="E90" t="s">
        <v>14</v>
      </c>
      <c r="F90">
        <v>60</v>
      </c>
      <c r="G90">
        <v>9.5600000000000004E-4</v>
      </c>
      <c r="H90" t="s">
        <v>101</v>
      </c>
      <c r="J90">
        <f t="shared" si="1"/>
        <v>1E-3</v>
      </c>
    </row>
    <row r="91" spans="1:10" x14ac:dyDescent="0.3">
      <c r="A91">
        <v>101</v>
      </c>
      <c r="B91">
        <v>8.7675929999999997</v>
      </c>
      <c r="C91" t="s">
        <v>8</v>
      </c>
      <c r="D91" t="s">
        <v>9</v>
      </c>
      <c r="E91" t="s">
        <v>14</v>
      </c>
      <c r="F91">
        <v>58</v>
      </c>
      <c r="G91">
        <v>7.1669999999999998E-3</v>
      </c>
      <c r="H91" t="s">
        <v>102</v>
      </c>
      <c r="J91">
        <f t="shared" si="1"/>
        <v>7.2000000000000007E-3</v>
      </c>
    </row>
    <row r="92" spans="1:10" x14ac:dyDescent="0.3">
      <c r="A92">
        <v>102</v>
      </c>
      <c r="B92">
        <v>8.8122419999999995</v>
      </c>
      <c r="C92" t="s">
        <v>9</v>
      </c>
      <c r="D92" t="s">
        <v>8</v>
      </c>
      <c r="E92" t="s">
        <v>10</v>
      </c>
      <c r="F92">
        <v>60</v>
      </c>
      <c r="G92">
        <v>4.4649000000000001E-2</v>
      </c>
      <c r="H92" t="s">
        <v>103</v>
      </c>
      <c r="J92">
        <f t="shared" si="1"/>
        <v>4.4700000000000004E-2</v>
      </c>
    </row>
    <row r="93" spans="1:10" x14ac:dyDescent="0.3">
      <c r="A93">
        <v>103</v>
      </c>
      <c r="B93">
        <v>9.4340989999999998</v>
      </c>
      <c r="C93" t="s">
        <v>9</v>
      </c>
      <c r="D93" t="s">
        <v>8</v>
      </c>
      <c r="E93" t="s">
        <v>14</v>
      </c>
      <c r="F93">
        <v>73</v>
      </c>
      <c r="G93">
        <v>0.62185699999999999</v>
      </c>
      <c r="H93" t="s">
        <v>104</v>
      </c>
      <c r="J93">
        <f t="shared" si="1"/>
        <v>0.62190000000000001</v>
      </c>
    </row>
    <row r="94" spans="1:10" x14ac:dyDescent="0.3">
      <c r="A94">
        <v>104</v>
      </c>
      <c r="B94">
        <v>9.4349050000000005</v>
      </c>
      <c r="C94" t="s">
        <v>8</v>
      </c>
      <c r="D94" t="s">
        <v>9</v>
      </c>
      <c r="E94" t="s">
        <v>14</v>
      </c>
      <c r="F94">
        <v>58</v>
      </c>
      <c r="G94">
        <v>8.0599999999999997E-4</v>
      </c>
      <c r="H94" t="s">
        <v>105</v>
      </c>
      <c r="J94">
        <f t="shared" si="1"/>
        <v>9.0000000000000008E-4</v>
      </c>
    </row>
    <row r="95" spans="1:10" x14ac:dyDescent="0.3">
      <c r="A95">
        <v>105</v>
      </c>
      <c r="B95">
        <v>9.4352699999999992</v>
      </c>
      <c r="C95" t="s">
        <v>9</v>
      </c>
      <c r="D95" t="s">
        <v>8</v>
      </c>
      <c r="E95" t="s">
        <v>10</v>
      </c>
      <c r="F95">
        <v>60</v>
      </c>
      <c r="G95">
        <v>3.6499999999999998E-4</v>
      </c>
      <c r="H95" t="s">
        <v>106</v>
      </c>
      <c r="J95">
        <f t="shared" si="1"/>
        <v>3.9999999999999996E-4</v>
      </c>
    </row>
    <row r="96" spans="1:10" x14ac:dyDescent="0.3">
      <c r="A96">
        <v>106</v>
      </c>
      <c r="B96">
        <v>9.4371010000000002</v>
      </c>
      <c r="C96" t="s">
        <v>9</v>
      </c>
      <c r="D96" t="s">
        <v>8</v>
      </c>
      <c r="E96" t="s">
        <v>14</v>
      </c>
      <c r="F96">
        <v>60</v>
      </c>
      <c r="G96">
        <v>1.8309999999999999E-3</v>
      </c>
      <c r="H96" t="s">
        <v>107</v>
      </c>
      <c r="J96">
        <f t="shared" si="1"/>
        <v>1.9E-3</v>
      </c>
    </row>
    <row r="97" spans="1:10" x14ac:dyDescent="0.3">
      <c r="A97">
        <v>107</v>
      </c>
      <c r="B97">
        <v>9.438288</v>
      </c>
      <c r="C97" t="s">
        <v>8</v>
      </c>
      <c r="D97" t="s">
        <v>9</v>
      </c>
      <c r="E97" t="s">
        <v>14</v>
      </c>
      <c r="F97">
        <v>58</v>
      </c>
      <c r="G97">
        <v>1.1869999999999999E-3</v>
      </c>
      <c r="H97" t="s">
        <v>108</v>
      </c>
      <c r="J97">
        <f t="shared" si="1"/>
        <v>1.2000000000000001E-3</v>
      </c>
    </row>
    <row r="98" spans="1:10" x14ac:dyDescent="0.3">
      <c r="A98">
        <v>108</v>
      </c>
      <c r="B98">
        <v>9.4800409999999999</v>
      </c>
      <c r="C98" t="s">
        <v>9</v>
      </c>
      <c r="D98" t="s">
        <v>8</v>
      </c>
      <c r="E98" t="s">
        <v>10</v>
      </c>
      <c r="F98">
        <v>60</v>
      </c>
      <c r="G98">
        <v>4.1752999999999998E-2</v>
      </c>
      <c r="H98" t="s">
        <v>109</v>
      </c>
      <c r="J98">
        <f t="shared" si="1"/>
        <v>4.1800000000000004E-2</v>
      </c>
    </row>
    <row r="99" spans="1:10" x14ac:dyDescent="0.3">
      <c r="A99">
        <v>114</v>
      </c>
      <c r="B99">
        <v>10.045730000000001</v>
      </c>
      <c r="C99" t="s">
        <v>8</v>
      </c>
      <c r="D99" t="s">
        <v>9</v>
      </c>
      <c r="E99" t="s">
        <v>14</v>
      </c>
      <c r="F99">
        <v>73</v>
      </c>
      <c r="G99">
        <v>0.565689</v>
      </c>
      <c r="H99" t="s">
        <v>110</v>
      </c>
      <c r="J99">
        <f t="shared" si="1"/>
        <v>0.56569999999999998</v>
      </c>
    </row>
    <row r="100" spans="1:10" x14ac:dyDescent="0.3">
      <c r="A100">
        <v>115</v>
      </c>
      <c r="B100">
        <v>10.046409000000001</v>
      </c>
      <c r="C100" t="s">
        <v>9</v>
      </c>
      <c r="D100" t="s">
        <v>8</v>
      </c>
      <c r="E100" t="s">
        <v>10</v>
      </c>
      <c r="F100">
        <v>60</v>
      </c>
      <c r="G100">
        <v>6.7900000000000002E-4</v>
      </c>
      <c r="H100" t="s">
        <v>111</v>
      </c>
      <c r="J100">
        <f t="shared" si="1"/>
        <v>6.9999999999999999E-4</v>
      </c>
    </row>
    <row r="101" spans="1:10" x14ac:dyDescent="0.3">
      <c r="A101">
        <v>116</v>
      </c>
      <c r="B101">
        <v>10.049801</v>
      </c>
      <c r="C101" t="s">
        <v>9</v>
      </c>
      <c r="D101" t="s">
        <v>8</v>
      </c>
      <c r="E101" t="s">
        <v>14</v>
      </c>
      <c r="F101">
        <v>60</v>
      </c>
      <c r="G101">
        <v>3.392E-3</v>
      </c>
      <c r="H101" t="s">
        <v>112</v>
      </c>
      <c r="J101">
        <f t="shared" si="1"/>
        <v>3.3999999999999998E-3</v>
      </c>
    </row>
    <row r="102" spans="1:10" x14ac:dyDescent="0.3">
      <c r="A102">
        <v>117</v>
      </c>
      <c r="B102">
        <v>10.050644</v>
      </c>
      <c r="C102" t="s">
        <v>8</v>
      </c>
      <c r="D102" t="s">
        <v>9</v>
      </c>
      <c r="E102" t="s">
        <v>14</v>
      </c>
      <c r="F102">
        <v>58</v>
      </c>
      <c r="G102">
        <v>8.43E-4</v>
      </c>
      <c r="H102" t="s">
        <v>113</v>
      </c>
      <c r="J102">
        <f t="shared" si="1"/>
        <v>9.0000000000000008E-4</v>
      </c>
    </row>
    <row r="103" spans="1:10" x14ac:dyDescent="0.3">
      <c r="A103">
        <v>118</v>
      </c>
      <c r="B103">
        <v>10.050792</v>
      </c>
      <c r="C103" t="s">
        <v>9</v>
      </c>
      <c r="D103" t="s">
        <v>8</v>
      </c>
      <c r="E103" t="s">
        <v>14</v>
      </c>
      <c r="F103">
        <v>73</v>
      </c>
      <c r="G103">
        <v>1.4799999999999999E-4</v>
      </c>
      <c r="H103" t="s">
        <v>114</v>
      </c>
      <c r="J103">
        <f t="shared" si="1"/>
        <v>2.0000000000000001E-4</v>
      </c>
    </row>
    <row r="104" spans="1:10" x14ac:dyDescent="0.3">
      <c r="A104">
        <v>119</v>
      </c>
      <c r="B104">
        <v>10.053851999999999</v>
      </c>
      <c r="C104" t="s">
        <v>9</v>
      </c>
      <c r="D104" t="s">
        <v>8</v>
      </c>
      <c r="E104" t="s">
        <v>14</v>
      </c>
      <c r="F104">
        <v>60</v>
      </c>
      <c r="G104">
        <v>3.0599999999999998E-3</v>
      </c>
      <c r="H104" t="s">
        <v>115</v>
      </c>
      <c r="J104">
        <f t="shared" si="1"/>
        <v>3.0999999999999999E-3</v>
      </c>
    </row>
    <row r="105" spans="1:10" x14ac:dyDescent="0.3">
      <c r="A105">
        <v>120</v>
      </c>
      <c r="B105">
        <v>10.053881000000001</v>
      </c>
      <c r="C105" t="s">
        <v>8</v>
      </c>
      <c r="D105" t="s">
        <v>9</v>
      </c>
      <c r="E105" t="s">
        <v>14</v>
      </c>
      <c r="F105">
        <v>58</v>
      </c>
      <c r="G105">
        <v>2.9E-5</v>
      </c>
      <c r="H105" t="s">
        <v>116</v>
      </c>
      <c r="J105">
        <f t="shared" si="1"/>
        <v>1E-4</v>
      </c>
    </row>
    <row r="106" spans="1:10" x14ac:dyDescent="0.3">
      <c r="A106">
        <v>121</v>
      </c>
      <c r="B106">
        <v>10.056430000000001</v>
      </c>
      <c r="C106" t="s">
        <v>9</v>
      </c>
      <c r="D106" t="s">
        <v>8</v>
      </c>
      <c r="E106" t="s">
        <v>14</v>
      </c>
      <c r="F106">
        <v>60</v>
      </c>
      <c r="G106">
        <v>2.5490000000000001E-3</v>
      </c>
      <c r="H106" t="s">
        <v>117</v>
      </c>
      <c r="J106">
        <f t="shared" si="1"/>
        <v>2.5999999999999999E-3</v>
      </c>
    </row>
    <row r="107" spans="1:10" x14ac:dyDescent="0.3">
      <c r="A107">
        <v>122</v>
      </c>
      <c r="B107">
        <v>10.063166000000001</v>
      </c>
      <c r="C107" t="s">
        <v>8</v>
      </c>
      <c r="D107" t="s">
        <v>9</v>
      </c>
      <c r="E107" t="s">
        <v>14</v>
      </c>
      <c r="F107">
        <v>58</v>
      </c>
      <c r="G107">
        <v>6.7359999999999998E-3</v>
      </c>
      <c r="H107" t="s">
        <v>118</v>
      </c>
      <c r="J107">
        <f t="shared" si="1"/>
        <v>6.8000000000000005E-3</v>
      </c>
    </row>
    <row r="108" spans="1:10" x14ac:dyDescent="0.3">
      <c r="A108">
        <v>123</v>
      </c>
      <c r="B108">
        <v>10.104111</v>
      </c>
      <c r="C108" t="s">
        <v>9</v>
      </c>
      <c r="D108" t="s">
        <v>8</v>
      </c>
      <c r="E108" t="s">
        <v>10</v>
      </c>
      <c r="F108">
        <v>60</v>
      </c>
      <c r="G108">
        <v>4.0945000000000002E-2</v>
      </c>
      <c r="H108" t="s">
        <v>119</v>
      </c>
      <c r="J108">
        <f t="shared" si="1"/>
        <v>4.1000000000000002E-2</v>
      </c>
    </row>
    <row r="109" spans="1:10" x14ac:dyDescent="0.3">
      <c r="A109">
        <v>124</v>
      </c>
      <c r="B109">
        <v>10.73297</v>
      </c>
      <c r="C109" t="s">
        <v>9</v>
      </c>
      <c r="D109" t="s">
        <v>8</v>
      </c>
      <c r="E109" t="s">
        <v>14</v>
      </c>
      <c r="F109">
        <v>73</v>
      </c>
      <c r="G109">
        <v>0.62885899999999995</v>
      </c>
      <c r="H109" t="s">
        <v>120</v>
      </c>
      <c r="J109">
        <f t="shared" si="1"/>
        <v>0.62890000000000001</v>
      </c>
    </row>
    <row r="110" spans="1:10" x14ac:dyDescent="0.3">
      <c r="A110">
        <v>125</v>
      </c>
      <c r="B110">
        <v>10.733933</v>
      </c>
      <c r="C110" t="s">
        <v>8</v>
      </c>
      <c r="D110" t="s">
        <v>9</v>
      </c>
      <c r="E110" t="s">
        <v>14</v>
      </c>
      <c r="F110">
        <v>58</v>
      </c>
      <c r="G110">
        <v>9.6299999999999999E-4</v>
      </c>
      <c r="H110" t="s">
        <v>121</v>
      </c>
      <c r="J110">
        <f t="shared" si="1"/>
        <v>1E-3</v>
      </c>
    </row>
    <row r="111" spans="1:10" x14ac:dyDescent="0.3">
      <c r="A111">
        <v>126</v>
      </c>
      <c r="B111">
        <v>10.734374000000001</v>
      </c>
      <c r="C111" t="s">
        <v>9</v>
      </c>
      <c r="D111" t="s">
        <v>8</v>
      </c>
      <c r="E111" t="s">
        <v>10</v>
      </c>
      <c r="F111">
        <v>60</v>
      </c>
      <c r="G111">
        <v>4.4099999999999999E-4</v>
      </c>
      <c r="H111" t="s">
        <v>122</v>
      </c>
      <c r="J111">
        <f t="shared" si="1"/>
        <v>5.0000000000000001E-4</v>
      </c>
    </row>
    <row r="112" spans="1:10" x14ac:dyDescent="0.3">
      <c r="A112">
        <v>127</v>
      </c>
      <c r="B112">
        <v>10.735757</v>
      </c>
      <c r="C112" t="s">
        <v>9</v>
      </c>
      <c r="D112" t="s">
        <v>8</v>
      </c>
      <c r="E112" t="s">
        <v>14</v>
      </c>
      <c r="F112">
        <v>60</v>
      </c>
      <c r="G112">
        <v>1.3829999999999999E-3</v>
      </c>
      <c r="H112" t="s">
        <v>123</v>
      </c>
      <c r="J112">
        <f t="shared" si="1"/>
        <v>1.4E-3</v>
      </c>
    </row>
    <row r="113" spans="1:10" x14ac:dyDescent="0.3">
      <c r="A113">
        <v>128</v>
      </c>
      <c r="B113">
        <v>10.736756</v>
      </c>
      <c r="C113" t="s">
        <v>8</v>
      </c>
      <c r="D113" t="s">
        <v>9</v>
      </c>
      <c r="E113" t="s">
        <v>14</v>
      </c>
      <c r="F113">
        <v>58</v>
      </c>
      <c r="G113">
        <v>9.990000000000001E-4</v>
      </c>
      <c r="H113" t="s">
        <v>124</v>
      </c>
      <c r="J113">
        <f t="shared" si="1"/>
        <v>1E-3</v>
      </c>
    </row>
    <row r="114" spans="1:10" x14ac:dyDescent="0.3">
      <c r="A114">
        <v>129</v>
      </c>
      <c r="B114">
        <v>10.780346</v>
      </c>
      <c r="C114" t="s">
        <v>9</v>
      </c>
      <c r="D114" t="s">
        <v>8</v>
      </c>
      <c r="E114" t="s">
        <v>10</v>
      </c>
      <c r="F114">
        <v>60</v>
      </c>
      <c r="G114">
        <v>4.3589999999999997E-2</v>
      </c>
      <c r="H114" t="s">
        <v>125</v>
      </c>
      <c r="J114">
        <f t="shared" si="1"/>
        <v>4.36E-2</v>
      </c>
    </row>
    <row r="115" spans="1:10" x14ac:dyDescent="0.3">
      <c r="A115">
        <v>132</v>
      </c>
      <c r="B115">
        <v>11.319152000000001</v>
      </c>
      <c r="C115" t="s">
        <v>8</v>
      </c>
      <c r="D115" t="s">
        <v>9</v>
      </c>
      <c r="E115" t="s">
        <v>14</v>
      </c>
      <c r="F115">
        <v>73</v>
      </c>
      <c r="G115">
        <v>0.53880600000000001</v>
      </c>
      <c r="H115" t="s">
        <v>126</v>
      </c>
      <c r="J115">
        <f t="shared" si="1"/>
        <v>0.53889999999999993</v>
      </c>
    </row>
    <row r="116" spans="1:10" x14ac:dyDescent="0.3">
      <c r="A116">
        <v>133</v>
      </c>
      <c r="B116">
        <v>11.319806</v>
      </c>
      <c r="C116" t="s">
        <v>9</v>
      </c>
      <c r="D116" t="s">
        <v>8</v>
      </c>
      <c r="E116" t="s">
        <v>10</v>
      </c>
      <c r="F116">
        <v>60</v>
      </c>
      <c r="G116">
        <v>6.5399999999999996E-4</v>
      </c>
      <c r="H116" t="s">
        <v>127</v>
      </c>
      <c r="J116">
        <f t="shared" si="1"/>
        <v>6.9999999999999999E-4</v>
      </c>
    </row>
    <row r="117" spans="1:10" x14ac:dyDescent="0.3">
      <c r="A117">
        <v>134</v>
      </c>
      <c r="B117">
        <v>11.323299</v>
      </c>
      <c r="C117" t="s">
        <v>9</v>
      </c>
      <c r="D117" t="s">
        <v>8</v>
      </c>
      <c r="E117" t="s">
        <v>14</v>
      </c>
      <c r="F117">
        <v>60</v>
      </c>
      <c r="G117">
        <v>3.493E-3</v>
      </c>
      <c r="H117" t="s">
        <v>128</v>
      </c>
      <c r="J117">
        <f t="shared" si="1"/>
        <v>3.4999999999999996E-3</v>
      </c>
    </row>
    <row r="118" spans="1:10" x14ac:dyDescent="0.3">
      <c r="A118">
        <v>135</v>
      </c>
      <c r="B118">
        <v>11.324377</v>
      </c>
      <c r="C118" t="s">
        <v>9</v>
      </c>
      <c r="D118" t="s">
        <v>8</v>
      </c>
      <c r="E118" t="s">
        <v>14</v>
      </c>
      <c r="F118">
        <v>73</v>
      </c>
      <c r="G118">
        <v>1.078E-3</v>
      </c>
      <c r="H118" t="s">
        <v>129</v>
      </c>
      <c r="J118">
        <f t="shared" si="1"/>
        <v>1.1000000000000001E-3</v>
      </c>
    </row>
    <row r="119" spans="1:10" x14ac:dyDescent="0.3">
      <c r="A119">
        <v>136</v>
      </c>
      <c r="B119">
        <v>11.324401999999999</v>
      </c>
      <c r="C119" t="s">
        <v>8</v>
      </c>
      <c r="D119" t="s">
        <v>9</v>
      </c>
      <c r="E119" t="s">
        <v>10</v>
      </c>
      <c r="F119">
        <v>54</v>
      </c>
      <c r="G119">
        <v>2.5000000000000001E-5</v>
      </c>
      <c r="H119" t="s">
        <v>130</v>
      </c>
      <c r="J119">
        <f t="shared" si="1"/>
        <v>1E-4</v>
      </c>
    </row>
    <row r="120" spans="1:10" x14ac:dyDescent="0.3">
      <c r="A120">
        <v>137</v>
      </c>
      <c r="B120">
        <v>11.324743</v>
      </c>
      <c r="C120" t="s">
        <v>8</v>
      </c>
      <c r="D120" t="s">
        <v>9</v>
      </c>
      <c r="E120" t="s">
        <v>14</v>
      </c>
      <c r="F120">
        <v>58</v>
      </c>
      <c r="G120">
        <v>3.4099999999999999E-4</v>
      </c>
      <c r="H120" t="s">
        <v>131</v>
      </c>
      <c r="J120">
        <f t="shared" si="1"/>
        <v>3.9999999999999996E-4</v>
      </c>
    </row>
    <row r="121" spans="1:10" x14ac:dyDescent="0.3">
      <c r="A121">
        <v>138</v>
      </c>
      <c r="B121">
        <v>11.325768999999999</v>
      </c>
      <c r="C121" t="s">
        <v>9</v>
      </c>
      <c r="D121" t="s">
        <v>8</v>
      </c>
      <c r="E121" t="s">
        <v>14</v>
      </c>
      <c r="F121">
        <v>60</v>
      </c>
      <c r="G121">
        <v>1.026E-3</v>
      </c>
      <c r="H121" t="s">
        <v>132</v>
      </c>
      <c r="J121">
        <f t="shared" si="1"/>
        <v>1.1000000000000001E-3</v>
      </c>
    </row>
    <row r="122" spans="1:10" x14ac:dyDescent="0.3">
      <c r="A122">
        <v>139</v>
      </c>
      <c r="B122">
        <v>11.325794999999999</v>
      </c>
      <c r="C122" t="s">
        <v>8</v>
      </c>
      <c r="D122" t="s">
        <v>9</v>
      </c>
      <c r="E122" t="s">
        <v>14</v>
      </c>
      <c r="F122">
        <v>58</v>
      </c>
      <c r="G122">
        <v>2.5999999999999998E-5</v>
      </c>
      <c r="H122" t="s">
        <v>133</v>
      </c>
      <c r="J122">
        <f t="shared" si="1"/>
        <v>1E-4</v>
      </c>
    </row>
    <row r="123" spans="1:10" x14ac:dyDescent="0.3">
      <c r="A123">
        <v>140</v>
      </c>
      <c r="B123">
        <v>11.326686</v>
      </c>
      <c r="C123" t="s">
        <v>9</v>
      </c>
      <c r="D123" t="s">
        <v>8</v>
      </c>
      <c r="E123" t="s">
        <v>14</v>
      </c>
      <c r="F123">
        <v>60</v>
      </c>
      <c r="G123">
        <v>8.9099999999999997E-4</v>
      </c>
      <c r="H123" t="s">
        <v>134</v>
      </c>
      <c r="J123">
        <f t="shared" si="1"/>
        <v>9.0000000000000008E-4</v>
      </c>
    </row>
    <row r="124" spans="1:10" x14ac:dyDescent="0.3">
      <c r="A124">
        <v>141</v>
      </c>
      <c r="B124">
        <v>11.333595000000001</v>
      </c>
      <c r="C124" t="s">
        <v>8</v>
      </c>
      <c r="D124" t="s">
        <v>9</v>
      </c>
      <c r="E124" t="s">
        <v>14</v>
      </c>
      <c r="F124">
        <v>58</v>
      </c>
      <c r="G124">
        <v>6.9090000000000002E-3</v>
      </c>
      <c r="H124" t="s">
        <v>135</v>
      </c>
      <c r="J124">
        <f t="shared" si="1"/>
        <v>7.0000000000000001E-3</v>
      </c>
    </row>
    <row r="125" spans="1:10" x14ac:dyDescent="0.3">
      <c r="A125">
        <v>142</v>
      </c>
      <c r="B125">
        <v>11.376125</v>
      </c>
      <c r="C125" t="s">
        <v>9</v>
      </c>
      <c r="D125" t="s">
        <v>8</v>
      </c>
      <c r="E125" t="s">
        <v>10</v>
      </c>
      <c r="F125">
        <v>60</v>
      </c>
      <c r="G125">
        <v>4.2529999999999998E-2</v>
      </c>
      <c r="H125" t="s">
        <v>136</v>
      </c>
      <c r="J125">
        <f t="shared" si="1"/>
        <v>4.2600000000000006E-2</v>
      </c>
    </row>
    <row r="126" spans="1:10" x14ac:dyDescent="0.3">
      <c r="A126">
        <v>143</v>
      </c>
      <c r="B126">
        <v>11.941096999999999</v>
      </c>
      <c r="C126" t="s">
        <v>8</v>
      </c>
      <c r="D126" t="s">
        <v>51</v>
      </c>
      <c r="E126" t="s">
        <v>10</v>
      </c>
      <c r="F126">
        <v>66</v>
      </c>
      <c r="G126">
        <v>0.56497200000000003</v>
      </c>
      <c r="H126" t="s">
        <v>59</v>
      </c>
      <c r="J126">
        <f t="shared" si="1"/>
        <v>0.56499999999999995</v>
      </c>
    </row>
    <row r="127" spans="1:10" x14ac:dyDescent="0.3">
      <c r="A127">
        <v>144</v>
      </c>
      <c r="B127">
        <v>11.998022000000001</v>
      </c>
      <c r="C127" t="s">
        <v>9</v>
      </c>
      <c r="D127" t="s">
        <v>8</v>
      </c>
      <c r="E127" t="s">
        <v>14</v>
      </c>
      <c r="F127">
        <v>73</v>
      </c>
      <c r="G127">
        <v>5.6925000000000003E-2</v>
      </c>
      <c r="H127" t="s">
        <v>137</v>
      </c>
      <c r="J127">
        <f t="shared" si="1"/>
        <v>5.7000000000000002E-2</v>
      </c>
    </row>
    <row r="128" spans="1:10" x14ac:dyDescent="0.3">
      <c r="A128">
        <v>145</v>
      </c>
      <c r="B128">
        <v>11.998811999999999</v>
      </c>
      <c r="C128" t="s">
        <v>8</v>
      </c>
      <c r="D128" t="s">
        <v>9</v>
      </c>
      <c r="E128" t="s">
        <v>14</v>
      </c>
      <c r="F128">
        <v>58</v>
      </c>
      <c r="G128">
        <v>7.9000000000000001E-4</v>
      </c>
      <c r="H128" t="s">
        <v>138</v>
      </c>
      <c r="J128">
        <f t="shared" si="1"/>
        <v>8.0000000000000004E-4</v>
      </c>
    </row>
    <row r="129" spans="1:10" x14ac:dyDescent="0.3">
      <c r="A129">
        <v>146</v>
      </c>
      <c r="B129">
        <v>11.999105</v>
      </c>
      <c r="C129" t="s">
        <v>9</v>
      </c>
      <c r="D129" t="s">
        <v>8</v>
      </c>
      <c r="E129" t="s">
        <v>10</v>
      </c>
      <c r="F129">
        <v>60</v>
      </c>
      <c r="G129">
        <v>2.9300000000000002E-4</v>
      </c>
      <c r="H129" t="s">
        <v>139</v>
      </c>
      <c r="J129">
        <f t="shared" si="1"/>
        <v>3.0000000000000003E-4</v>
      </c>
    </row>
    <row r="130" spans="1:10" x14ac:dyDescent="0.3">
      <c r="A130">
        <v>147</v>
      </c>
      <c r="B130">
        <v>12.001218</v>
      </c>
      <c r="C130" t="s">
        <v>9</v>
      </c>
      <c r="D130" t="s">
        <v>8</v>
      </c>
      <c r="E130" t="s">
        <v>14</v>
      </c>
      <c r="F130">
        <v>60</v>
      </c>
      <c r="G130">
        <v>2.1129999999999999E-3</v>
      </c>
      <c r="H130" t="s">
        <v>140</v>
      </c>
      <c r="J130">
        <f t="shared" si="1"/>
        <v>2.1999999999999997E-3</v>
      </c>
    </row>
    <row r="131" spans="1:10" x14ac:dyDescent="0.3">
      <c r="A131">
        <v>148</v>
      </c>
      <c r="B131">
        <v>12.002511</v>
      </c>
      <c r="C131" t="s">
        <v>8</v>
      </c>
      <c r="D131" t="s">
        <v>9</v>
      </c>
      <c r="E131" t="s">
        <v>14</v>
      </c>
      <c r="F131">
        <v>58</v>
      </c>
      <c r="G131">
        <v>1.2930000000000001E-3</v>
      </c>
      <c r="H131" t="s">
        <v>141</v>
      </c>
      <c r="J131">
        <f t="shared" si="1"/>
        <v>1.2999999999999999E-3</v>
      </c>
    </row>
    <row r="132" spans="1:10" x14ac:dyDescent="0.3">
      <c r="A132">
        <v>150</v>
      </c>
      <c r="B132">
        <v>12.044036999999999</v>
      </c>
      <c r="C132" t="s">
        <v>9</v>
      </c>
      <c r="D132" t="s">
        <v>8</v>
      </c>
      <c r="E132" t="s">
        <v>10</v>
      </c>
      <c r="F132">
        <v>60</v>
      </c>
      <c r="G132">
        <v>4.1526E-2</v>
      </c>
      <c r="H132" t="s">
        <v>142</v>
      </c>
      <c r="J132">
        <f t="shared" ref="J132:J195" si="2">ROUNDUP(G132,4)</f>
        <v>4.1600000000000005E-2</v>
      </c>
    </row>
    <row r="133" spans="1:10" x14ac:dyDescent="0.3">
      <c r="A133">
        <v>151</v>
      </c>
      <c r="B133">
        <v>12.591422</v>
      </c>
      <c r="C133" t="s">
        <v>8</v>
      </c>
      <c r="D133" t="s">
        <v>9</v>
      </c>
      <c r="E133" t="s">
        <v>14</v>
      </c>
      <c r="F133">
        <v>73</v>
      </c>
      <c r="G133">
        <v>0.54738500000000001</v>
      </c>
      <c r="H133" t="s">
        <v>143</v>
      </c>
      <c r="J133">
        <f t="shared" si="2"/>
        <v>0.5474</v>
      </c>
    </row>
    <row r="134" spans="1:10" x14ac:dyDescent="0.3">
      <c r="A134">
        <v>152</v>
      </c>
      <c r="B134">
        <v>12.592053</v>
      </c>
      <c r="C134" t="s">
        <v>9</v>
      </c>
      <c r="D134" t="s">
        <v>8</v>
      </c>
      <c r="E134" t="s">
        <v>10</v>
      </c>
      <c r="F134">
        <v>60</v>
      </c>
      <c r="G134">
        <v>6.3100000000000005E-4</v>
      </c>
      <c r="H134" t="s">
        <v>144</v>
      </c>
      <c r="J134">
        <f t="shared" si="2"/>
        <v>6.9999999999999999E-4</v>
      </c>
    </row>
    <row r="135" spans="1:10" x14ac:dyDescent="0.3">
      <c r="A135">
        <v>153</v>
      </c>
      <c r="B135">
        <v>12.596037000000001</v>
      </c>
      <c r="C135" t="s">
        <v>9</v>
      </c>
      <c r="D135" t="s">
        <v>8</v>
      </c>
      <c r="E135" t="s">
        <v>14</v>
      </c>
      <c r="F135">
        <v>60</v>
      </c>
      <c r="G135">
        <v>3.9839999999999997E-3</v>
      </c>
      <c r="H135" t="s">
        <v>145</v>
      </c>
      <c r="J135">
        <f t="shared" si="2"/>
        <v>4.0000000000000001E-3</v>
      </c>
    </row>
    <row r="136" spans="1:10" x14ac:dyDescent="0.3">
      <c r="A136">
        <v>154</v>
      </c>
      <c r="B136">
        <v>12.596629</v>
      </c>
      <c r="C136" t="s">
        <v>8</v>
      </c>
      <c r="D136" t="s">
        <v>9</v>
      </c>
      <c r="E136" t="s">
        <v>14</v>
      </c>
      <c r="F136">
        <v>58</v>
      </c>
      <c r="G136">
        <v>5.9199999999999997E-4</v>
      </c>
      <c r="H136" t="s">
        <v>146</v>
      </c>
      <c r="J136">
        <f t="shared" si="2"/>
        <v>6.0000000000000006E-4</v>
      </c>
    </row>
    <row r="137" spans="1:10" x14ac:dyDescent="0.3">
      <c r="A137">
        <v>155</v>
      </c>
      <c r="B137">
        <v>12.596997999999999</v>
      </c>
      <c r="C137" t="s">
        <v>9</v>
      </c>
      <c r="D137" t="s">
        <v>8</v>
      </c>
      <c r="E137" t="s">
        <v>14</v>
      </c>
      <c r="F137">
        <v>73</v>
      </c>
      <c r="G137">
        <v>3.6900000000000002E-4</v>
      </c>
      <c r="H137" t="s">
        <v>147</v>
      </c>
      <c r="J137">
        <f t="shared" si="2"/>
        <v>3.9999999999999996E-4</v>
      </c>
    </row>
    <row r="138" spans="1:10" x14ac:dyDescent="0.3">
      <c r="A138">
        <v>156</v>
      </c>
      <c r="B138">
        <v>12.597429</v>
      </c>
      <c r="C138" t="s">
        <v>8</v>
      </c>
      <c r="D138" t="s">
        <v>9</v>
      </c>
      <c r="E138" t="s">
        <v>14</v>
      </c>
      <c r="F138">
        <v>58</v>
      </c>
      <c r="G138">
        <v>4.3100000000000001E-4</v>
      </c>
      <c r="H138" t="s">
        <v>148</v>
      </c>
      <c r="J138">
        <f t="shared" si="2"/>
        <v>5.0000000000000001E-4</v>
      </c>
    </row>
    <row r="139" spans="1:10" x14ac:dyDescent="0.3">
      <c r="A139">
        <v>157</v>
      </c>
      <c r="B139">
        <v>12.598084999999999</v>
      </c>
      <c r="C139" t="s">
        <v>9</v>
      </c>
      <c r="D139" t="s">
        <v>8</v>
      </c>
      <c r="E139" t="s">
        <v>14</v>
      </c>
      <c r="F139">
        <v>60</v>
      </c>
      <c r="G139">
        <v>6.5600000000000001E-4</v>
      </c>
      <c r="H139" t="s">
        <v>149</v>
      </c>
      <c r="J139">
        <f t="shared" si="2"/>
        <v>6.9999999999999999E-4</v>
      </c>
    </row>
    <row r="140" spans="1:10" x14ac:dyDescent="0.3">
      <c r="A140">
        <v>158</v>
      </c>
      <c r="B140">
        <v>12.598699999999999</v>
      </c>
      <c r="C140" t="s">
        <v>9</v>
      </c>
      <c r="D140" t="s">
        <v>8</v>
      </c>
      <c r="E140" t="s">
        <v>14</v>
      </c>
      <c r="F140">
        <v>60</v>
      </c>
      <c r="G140">
        <v>6.1499999999999999E-4</v>
      </c>
      <c r="H140" t="s">
        <v>150</v>
      </c>
      <c r="J140">
        <f t="shared" si="2"/>
        <v>6.9999999999999999E-4</v>
      </c>
    </row>
    <row r="141" spans="1:10" x14ac:dyDescent="0.3">
      <c r="A141">
        <v>159</v>
      </c>
      <c r="B141">
        <v>12.598716</v>
      </c>
      <c r="C141" t="s">
        <v>8</v>
      </c>
      <c r="D141" t="s">
        <v>9</v>
      </c>
      <c r="E141" t="s">
        <v>10</v>
      </c>
      <c r="F141">
        <v>54</v>
      </c>
      <c r="G141">
        <v>1.5999999999999999E-5</v>
      </c>
      <c r="H141" t="s">
        <v>151</v>
      </c>
      <c r="J141">
        <f t="shared" si="2"/>
        <v>1E-4</v>
      </c>
    </row>
    <row r="142" spans="1:10" x14ac:dyDescent="0.3">
      <c r="A142">
        <v>160</v>
      </c>
      <c r="B142">
        <v>12.605585</v>
      </c>
      <c r="C142" t="s">
        <v>8</v>
      </c>
      <c r="D142" t="s">
        <v>9</v>
      </c>
      <c r="E142" t="s">
        <v>14</v>
      </c>
      <c r="F142">
        <v>58</v>
      </c>
      <c r="G142">
        <v>6.8690000000000001E-3</v>
      </c>
      <c r="H142" t="s">
        <v>152</v>
      </c>
      <c r="J142">
        <f t="shared" si="2"/>
        <v>6.8999999999999999E-3</v>
      </c>
    </row>
    <row r="143" spans="1:10" x14ac:dyDescent="0.3">
      <c r="A143">
        <v>161</v>
      </c>
      <c r="B143">
        <v>12.648008000000001</v>
      </c>
      <c r="C143" t="s">
        <v>9</v>
      </c>
      <c r="D143" t="s">
        <v>8</v>
      </c>
      <c r="E143" t="s">
        <v>10</v>
      </c>
      <c r="F143">
        <v>60</v>
      </c>
      <c r="G143">
        <v>4.2423000000000002E-2</v>
      </c>
      <c r="H143" t="s">
        <v>153</v>
      </c>
      <c r="J143">
        <f t="shared" si="2"/>
        <v>4.2500000000000003E-2</v>
      </c>
    </row>
    <row r="144" spans="1:10" x14ac:dyDescent="0.3">
      <c r="A144">
        <v>162</v>
      </c>
      <c r="B144">
        <v>13.205009</v>
      </c>
      <c r="C144" t="s">
        <v>9</v>
      </c>
      <c r="D144" t="s">
        <v>8</v>
      </c>
      <c r="E144" t="s">
        <v>14</v>
      </c>
      <c r="F144">
        <v>73</v>
      </c>
      <c r="G144">
        <v>0.55700099999999997</v>
      </c>
      <c r="H144" t="s">
        <v>154</v>
      </c>
      <c r="J144">
        <f t="shared" si="2"/>
        <v>0.55710000000000004</v>
      </c>
    </row>
    <row r="145" spans="1:10" x14ac:dyDescent="0.3">
      <c r="A145">
        <v>163</v>
      </c>
      <c r="B145">
        <v>13.206110000000001</v>
      </c>
      <c r="C145" t="s">
        <v>8</v>
      </c>
      <c r="D145" t="s">
        <v>9</v>
      </c>
      <c r="E145" t="s">
        <v>14</v>
      </c>
      <c r="F145">
        <v>58</v>
      </c>
      <c r="G145">
        <v>1.101E-3</v>
      </c>
      <c r="H145" t="s">
        <v>155</v>
      </c>
      <c r="J145">
        <f t="shared" si="2"/>
        <v>1.2000000000000001E-3</v>
      </c>
    </row>
    <row r="146" spans="1:10" x14ac:dyDescent="0.3">
      <c r="A146">
        <v>164</v>
      </c>
      <c r="B146">
        <v>13.206439</v>
      </c>
      <c r="C146" t="s">
        <v>9</v>
      </c>
      <c r="D146" t="s">
        <v>8</v>
      </c>
      <c r="E146" t="s">
        <v>10</v>
      </c>
      <c r="F146">
        <v>60</v>
      </c>
      <c r="G146">
        <v>3.2899999999999997E-4</v>
      </c>
      <c r="H146" t="s">
        <v>156</v>
      </c>
      <c r="J146">
        <f t="shared" si="2"/>
        <v>3.9999999999999996E-4</v>
      </c>
    </row>
    <row r="147" spans="1:10" x14ac:dyDescent="0.3">
      <c r="A147">
        <v>165</v>
      </c>
      <c r="B147">
        <v>13.208026</v>
      </c>
      <c r="C147" t="s">
        <v>9</v>
      </c>
      <c r="D147" t="s">
        <v>8</v>
      </c>
      <c r="E147" t="s">
        <v>14</v>
      </c>
      <c r="F147">
        <v>60</v>
      </c>
      <c r="G147">
        <v>1.5870000000000001E-3</v>
      </c>
      <c r="H147" t="s">
        <v>157</v>
      </c>
      <c r="J147">
        <f t="shared" si="2"/>
        <v>1.6000000000000001E-3</v>
      </c>
    </row>
    <row r="148" spans="1:10" x14ac:dyDescent="0.3">
      <c r="A148">
        <v>166</v>
      </c>
      <c r="B148">
        <v>13.209374</v>
      </c>
      <c r="C148" t="s">
        <v>8</v>
      </c>
      <c r="D148" t="s">
        <v>9</v>
      </c>
      <c r="E148" t="s">
        <v>14</v>
      </c>
      <c r="F148">
        <v>58</v>
      </c>
      <c r="G148">
        <v>1.348E-3</v>
      </c>
      <c r="H148" t="s">
        <v>158</v>
      </c>
      <c r="J148">
        <f t="shared" si="2"/>
        <v>1.4E-3</v>
      </c>
    </row>
    <row r="149" spans="1:10" x14ac:dyDescent="0.3">
      <c r="A149">
        <v>167</v>
      </c>
      <c r="B149">
        <v>13.252008999999999</v>
      </c>
      <c r="C149" t="s">
        <v>9</v>
      </c>
      <c r="D149" t="s">
        <v>8</v>
      </c>
      <c r="E149" t="s">
        <v>10</v>
      </c>
      <c r="F149">
        <v>60</v>
      </c>
      <c r="G149">
        <v>4.2634999999999999E-2</v>
      </c>
      <c r="H149" t="s">
        <v>159</v>
      </c>
      <c r="J149">
        <f t="shared" si="2"/>
        <v>4.2700000000000002E-2</v>
      </c>
    </row>
    <row r="150" spans="1:10" x14ac:dyDescent="0.3">
      <c r="A150">
        <v>168</v>
      </c>
      <c r="B150">
        <v>13.830469000000001</v>
      </c>
      <c r="C150" t="s">
        <v>8</v>
      </c>
      <c r="D150" t="s">
        <v>9</v>
      </c>
      <c r="E150" t="s">
        <v>14</v>
      </c>
      <c r="F150">
        <v>73</v>
      </c>
      <c r="G150">
        <v>0.57845999999999997</v>
      </c>
      <c r="H150" t="s">
        <v>160</v>
      </c>
      <c r="J150">
        <f t="shared" si="2"/>
        <v>0.57850000000000001</v>
      </c>
    </row>
    <row r="151" spans="1:10" x14ac:dyDescent="0.3">
      <c r="A151">
        <v>169</v>
      </c>
      <c r="B151">
        <v>13.831125999999999</v>
      </c>
      <c r="C151" t="s">
        <v>9</v>
      </c>
      <c r="D151" t="s">
        <v>8</v>
      </c>
      <c r="E151" t="s">
        <v>10</v>
      </c>
      <c r="F151">
        <v>60</v>
      </c>
      <c r="G151">
        <v>6.5700000000000003E-4</v>
      </c>
      <c r="H151" t="s">
        <v>161</v>
      </c>
      <c r="J151">
        <f t="shared" si="2"/>
        <v>6.9999999999999999E-4</v>
      </c>
    </row>
    <row r="152" spans="1:10" x14ac:dyDescent="0.3">
      <c r="A152">
        <v>170</v>
      </c>
      <c r="B152">
        <v>13.835375000000001</v>
      </c>
      <c r="C152" t="s">
        <v>9</v>
      </c>
      <c r="D152" t="s">
        <v>8</v>
      </c>
      <c r="E152" t="s">
        <v>14</v>
      </c>
      <c r="F152">
        <v>60</v>
      </c>
      <c r="G152">
        <v>4.2490000000000002E-3</v>
      </c>
      <c r="H152" t="s">
        <v>162</v>
      </c>
      <c r="J152">
        <f t="shared" si="2"/>
        <v>4.3E-3</v>
      </c>
    </row>
    <row r="153" spans="1:10" x14ac:dyDescent="0.3">
      <c r="A153">
        <v>171</v>
      </c>
      <c r="B153">
        <v>13.835997000000001</v>
      </c>
      <c r="C153" t="s">
        <v>8</v>
      </c>
      <c r="D153" t="s">
        <v>9</v>
      </c>
      <c r="E153" t="s">
        <v>14</v>
      </c>
      <c r="F153">
        <v>58</v>
      </c>
      <c r="G153">
        <v>6.2200000000000005E-4</v>
      </c>
      <c r="H153" t="s">
        <v>163</v>
      </c>
      <c r="J153">
        <f t="shared" si="2"/>
        <v>6.9999999999999999E-4</v>
      </c>
    </row>
    <row r="154" spans="1:10" x14ac:dyDescent="0.3">
      <c r="A154">
        <v>172</v>
      </c>
      <c r="B154">
        <v>13.836499999999999</v>
      </c>
      <c r="C154" t="s">
        <v>9</v>
      </c>
      <c r="D154" t="s">
        <v>8</v>
      </c>
      <c r="E154" t="s">
        <v>14</v>
      </c>
      <c r="F154">
        <v>73</v>
      </c>
      <c r="G154">
        <v>5.0299999999999997E-4</v>
      </c>
      <c r="H154" t="s">
        <v>164</v>
      </c>
      <c r="J154">
        <f t="shared" si="2"/>
        <v>6.0000000000000006E-4</v>
      </c>
    </row>
    <row r="155" spans="1:10" x14ac:dyDescent="0.3">
      <c r="A155">
        <v>173</v>
      </c>
      <c r="B155">
        <v>13.836947</v>
      </c>
      <c r="C155" t="s">
        <v>8</v>
      </c>
      <c r="D155" t="s">
        <v>9</v>
      </c>
      <c r="E155" t="s">
        <v>14</v>
      </c>
      <c r="F155">
        <v>58</v>
      </c>
      <c r="G155">
        <v>4.4700000000000002E-4</v>
      </c>
      <c r="H155" t="s">
        <v>165</v>
      </c>
      <c r="J155">
        <f t="shared" si="2"/>
        <v>5.0000000000000001E-4</v>
      </c>
    </row>
    <row r="156" spans="1:10" x14ac:dyDescent="0.3">
      <c r="A156">
        <v>174</v>
      </c>
      <c r="B156">
        <v>13.838777</v>
      </c>
      <c r="C156" t="s">
        <v>9</v>
      </c>
      <c r="D156" t="s">
        <v>8</v>
      </c>
      <c r="E156" t="s">
        <v>14</v>
      </c>
      <c r="F156">
        <v>60</v>
      </c>
      <c r="G156">
        <v>1.83E-3</v>
      </c>
      <c r="H156" t="s">
        <v>166</v>
      </c>
      <c r="J156">
        <f t="shared" si="2"/>
        <v>1.9E-3</v>
      </c>
    </row>
    <row r="157" spans="1:10" x14ac:dyDescent="0.3">
      <c r="A157">
        <v>175</v>
      </c>
      <c r="B157">
        <v>13.839494999999999</v>
      </c>
      <c r="C157" t="s">
        <v>9</v>
      </c>
      <c r="D157" t="s">
        <v>8</v>
      </c>
      <c r="E157" t="s">
        <v>14</v>
      </c>
      <c r="F157">
        <v>60</v>
      </c>
      <c r="G157">
        <v>7.18E-4</v>
      </c>
      <c r="H157" t="s">
        <v>167</v>
      </c>
      <c r="J157">
        <f t="shared" si="2"/>
        <v>8.0000000000000004E-4</v>
      </c>
    </row>
    <row r="158" spans="1:10" x14ac:dyDescent="0.3">
      <c r="A158">
        <v>176</v>
      </c>
      <c r="B158">
        <v>13.839516</v>
      </c>
      <c r="C158" t="s">
        <v>8</v>
      </c>
      <c r="D158" t="s">
        <v>9</v>
      </c>
      <c r="E158" t="s">
        <v>10</v>
      </c>
      <c r="F158">
        <v>54</v>
      </c>
      <c r="G158">
        <v>2.0999999999999999E-5</v>
      </c>
      <c r="H158" t="s">
        <v>168</v>
      </c>
      <c r="J158">
        <f t="shared" si="2"/>
        <v>1E-4</v>
      </c>
    </row>
    <row r="159" spans="1:10" x14ac:dyDescent="0.3">
      <c r="A159">
        <v>177</v>
      </c>
      <c r="B159">
        <v>13.846550000000001</v>
      </c>
      <c r="C159" t="s">
        <v>8</v>
      </c>
      <c r="D159" t="s">
        <v>9</v>
      </c>
      <c r="E159" t="s">
        <v>14</v>
      </c>
      <c r="F159">
        <v>58</v>
      </c>
      <c r="G159">
        <v>7.0340000000000003E-3</v>
      </c>
      <c r="H159" t="s">
        <v>169</v>
      </c>
      <c r="J159">
        <f t="shared" si="2"/>
        <v>7.1000000000000004E-3</v>
      </c>
    </row>
    <row r="160" spans="1:10" x14ac:dyDescent="0.3">
      <c r="A160">
        <v>178</v>
      </c>
      <c r="B160">
        <v>13.888026</v>
      </c>
      <c r="C160" t="s">
        <v>9</v>
      </c>
      <c r="D160" t="s">
        <v>8</v>
      </c>
      <c r="E160" t="s">
        <v>10</v>
      </c>
      <c r="F160">
        <v>60</v>
      </c>
      <c r="G160">
        <v>4.1475999999999999E-2</v>
      </c>
      <c r="H160" t="s">
        <v>170</v>
      </c>
      <c r="J160">
        <f t="shared" si="2"/>
        <v>4.1500000000000002E-2</v>
      </c>
    </row>
    <row r="161" spans="1:10" x14ac:dyDescent="0.3">
      <c r="A161">
        <v>180</v>
      </c>
      <c r="B161">
        <v>14.479660000000001</v>
      </c>
      <c r="C161" t="s">
        <v>9</v>
      </c>
      <c r="D161" t="s">
        <v>8</v>
      </c>
      <c r="E161" t="s">
        <v>14</v>
      </c>
      <c r="F161">
        <v>73</v>
      </c>
      <c r="G161">
        <v>0.59163399999999999</v>
      </c>
      <c r="H161" t="s">
        <v>171</v>
      </c>
      <c r="J161">
        <f t="shared" si="2"/>
        <v>0.5917</v>
      </c>
    </row>
    <row r="162" spans="1:10" x14ac:dyDescent="0.3">
      <c r="A162">
        <v>181</v>
      </c>
      <c r="B162">
        <v>14.480456999999999</v>
      </c>
      <c r="C162" t="s">
        <v>8</v>
      </c>
      <c r="D162" t="s">
        <v>9</v>
      </c>
      <c r="E162" t="s">
        <v>14</v>
      </c>
      <c r="F162">
        <v>58</v>
      </c>
      <c r="G162">
        <v>7.9699999999999997E-4</v>
      </c>
      <c r="H162" t="s">
        <v>172</v>
      </c>
      <c r="J162">
        <f t="shared" si="2"/>
        <v>8.0000000000000004E-4</v>
      </c>
    </row>
    <row r="163" spans="1:10" x14ac:dyDescent="0.3">
      <c r="A163">
        <v>182</v>
      </c>
      <c r="B163">
        <v>14.480771000000001</v>
      </c>
      <c r="C163" t="s">
        <v>9</v>
      </c>
      <c r="D163" t="s">
        <v>8</v>
      </c>
      <c r="E163" t="s">
        <v>10</v>
      </c>
      <c r="F163">
        <v>60</v>
      </c>
      <c r="G163">
        <v>3.1399999999999999E-4</v>
      </c>
      <c r="H163" t="s">
        <v>173</v>
      </c>
      <c r="J163">
        <f t="shared" si="2"/>
        <v>3.9999999999999996E-4</v>
      </c>
    </row>
    <row r="164" spans="1:10" x14ac:dyDescent="0.3">
      <c r="A164">
        <v>183</v>
      </c>
      <c r="B164">
        <v>14.482108</v>
      </c>
      <c r="C164" t="s">
        <v>9</v>
      </c>
      <c r="D164" t="s">
        <v>8</v>
      </c>
      <c r="E164" t="s">
        <v>14</v>
      </c>
      <c r="F164">
        <v>60</v>
      </c>
      <c r="G164">
        <v>1.3370000000000001E-3</v>
      </c>
      <c r="H164" t="s">
        <v>174</v>
      </c>
      <c r="J164">
        <f t="shared" si="2"/>
        <v>1.4E-3</v>
      </c>
    </row>
    <row r="165" spans="1:10" x14ac:dyDescent="0.3">
      <c r="A165">
        <v>184</v>
      </c>
      <c r="B165">
        <v>14.483506</v>
      </c>
      <c r="C165" t="s">
        <v>8</v>
      </c>
      <c r="D165" t="s">
        <v>9</v>
      </c>
      <c r="E165" t="s">
        <v>14</v>
      </c>
      <c r="F165">
        <v>58</v>
      </c>
      <c r="G165">
        <v>1.3979999999999999E-3</v>
      </c>
      <c r="H165" t="s">
        <v>175</v>
      </c>
      <c r="J165">
        <f t="shared" si="2"/>
        <v>1.4E-3</v>
      </c>
    </row>
    <row r="166" spans="1:10" x14ac:dyDescent="0.3">
      <c r="A166">
        <v>185</v>
      </c>
      <c r="B166">
        <v>14.527849</v>
      </c>
      <c r="C166" t="s">
        <v>9</v>
      </c>
      <c r="D166" t="s">
        <v>8</v>
      </c>
      <c r="E166" t="s">
        <v>10</v>
      </c>
      <c r="F166">
        <v>60</v>
      </c>
      <c r="G166">
        <v>4.4343E-2</v>
      </c>
      <c r="H166" t="s">
        <v>176</v>
      </c>
      <c r="J166">
        <f t="shared" si="2"/>
        <v>4.4400000000000002E-2</v>
      </c>
    </row>
    <row r="167" spans="1:10" x14ac:dyDescent="0.3">
      <c r="A167">
        <v>186</v>
      </c>
      <c r="B167">
        <v>15.041449</v>
      </c>
      <c r="C167" t="s">
        <v>8</v>
      </c>
      <c r="D167" t="s">
        <v>9</v>
      </c>
      <c r="E167" t="s">
        <v>14</v>
      </c>
      <c r="F167">
        <v>73</v>
      </c>
      <c r="G167">
        <v>0.51359999999999995</v>
      </c>
      <c r="H167" t="s">
        <v>177</v>
      </c>
      <c r="J167">
        <f t="shared" si="2"/>
        <v>0.51359999999999995</v>
      </c>
    </row>
    <row r="168" spans="1:10" x14ac:dyDescent="0.3">
      <c r="A168">
        <v>187</v>
      </c>
      <c r="B168">
        <v>15.042104</v>
      </c>
      <c r="C168" t="s">
        <v>9</v>
      </c>
      <c r="D168" t="s">
        <v>8</v>
      </c>
      <c r="E168" t="s">
        <v>10</v>
      </c>
      <c r="F168">
        <v>60</v>
      </c>
      <c r="G168">
        <v>6.5499999999999998E-4</v>
      </c>
      <c r="H168" t="s">
        <v>178</v>
      </c>
      <c r="J168">
        <f t="shared" si="2"/>
        <v>6.9999999999999999E-4</v>
      </c>
    </row>
    <row r="169" spans="1:10" x14ac:dyDescent="0.3">
      <c r="A169">
        <v>188</v>
      </c>
      <c r="B169">
        <v>15.045647000000001</v>
      </c>
      <c r="C169" t="s">
        <v>9</v>
      </c>
      <c r="D169" t="s">
        <v>8</v>
      </c>
      <c r="E169" t="s">
        <v>14</v>
      </c>
      <c r="F169">
        <v>60</v>
      </c>
      <c r="G169">
        <v>3.5430000000000001E-3</v>
      </c>
      <c r="H169" t="s">
        <v>179</v>
      </c>
      <c r="J169">
        <f t="shared" si="2"/>
        <v>3.5999999999999999E-3</v>
      </c>
    </row>
    <row r="170" spans="1:10" x14ac:dyDescent="0.3">
      <c r="A170">
        <v>189</v>
      </c>
      <c r="B170">
        <v>15.046682000000001</v>
      </c>
      <c r="C170" t="s">
        <v>9</v>
      </c>
      <c r="D170" t="s">
        <v>8</v>
      </c>
      <c r="E170" t="s">
        <v>14</v>
      </c>
      <c r="F170">
        <v>73</v>
      </c>
      <c r="G170">
        <v>1.0349999999999999E-3</v>
      </c>
      <c r="H170" t="s">
        <v>180</v>
      </c>
      <c r="J170">
        <f t="shared" si="2"/>
        <v>1.1000000000000001E-3</v>
      </c>
    </row>
    <row r="171" spans="1:10" x14ac:dyDescent="0.3">
      <c r="A171">
        <v>190</v>
      </c>
      <c r="B171">
        <v>15.046726</v>
      </c>
      <c r="C171" t="s">
        <v>8</v>
      </c>
      <c r="D171" t="s">
        <v>9</v>
      </c>
      <c r="E171" t="s">
        <v>10</v>
      </c>
      <c r="F171">
        <v>54</v>
      </c>
      <c r="G171">
        <v>4.3999999999999999E-5</v>
      </c>
      <c r="H171" t="s">
        <v>181</v>
      </c>
      <c r="J171">
        <f t="shared" si="2"/>
        <v>1E-4</v>
      </c>
    </row>
    <row r="172" spans="1:10" x14ac:dyDescent="0.3">
      <c r="A172">
        <v>191</v>
      </c>
      <c r="B172">
        <v>15.047191</v>
      </c>
      <c r="C172" t="s">
        <v>8</v>
      </c>
      <c r="D172" t="s">
        <v>9</v>
      </c>
      <c r="E172" t="s">
        <v>14</v>
      </c>
      <c r="F172">
        <v>58</v>
      </c>
      <c r="G172">
        <v>4.6500000000000003E-4</v>
      </c>
      <c r="H172" t="s">
        <v>182</v>
      </c>
      <c r="J172">
        <f t="shared" si="2"/>
        <v>5.0000000000000001E-4</v>
      </c>
    </row>
    <row r="173" spans="1:10" x14ac:dyDescent="0.3">
      <c r="A173">
        <v>192</v>
      </c>
      <c r="B173">
        <v>15.048173999999999</v>
      </c>
      <c r="C173" t="s">
        <v>9</v>
      </c>
      <c r="D173" t="s">
        <v>8</v>
      </c>
      <c r="E173" t="s">
        <v>14</v>
      </c>
      <c r="F173">
        <v>60</v>
      </c>
      <c r="G173">
        <v>9.8299999999999993E-4</v>
      </c>
      <c r="H173" t="s">
        <v>183</v>
      </c>
      <c r="J173">
        <f t="shared" si="2"/>
        <v>1E-3</v>
      </c>
    </row>
    <row r="174" spans="1:10" x14ac:dyDescent="0.3">
      <c r="A174">
        <v>193</v>
      </c>
      <c r="B174">
        <v>15.048203000000001</v>
      </c>
      <c r="C174" t="s">
        <v>8</v>
      </c>
      <c r="D174" t="s">
        <v>9</v>
      </c>
      <c r="E174" t="s">
        <v>14</v>
      </c>
      <c r="F174">
        <v>58</v>
      </c>
      <c r="G174">
        <v>2.9E-5</v>
      </c>
      <c r="H174" t="s">
        <v>184</v>
      </c>
      <c r="J174">
        <f t="shared" si="2"/>
        <v>1E-4</v>
      </c>
    </row>
    <row r="175" spans="1:10" x14ac:dyDescent="0.3">
      <c r="A175">
        <v>194</v>
      </c>
      <c r="B175">
        <v>15.055517999999999</v>
      </c>
      <c r="C175" t="s">
        <v>9</v>
      </c>
      <c r="D175" t="s">
        <v>8</v>
      </c>
      <c r="E175" t="s">
        <v>14</v>
      </c>
      <c r="F175">
        <v>60</v>
      </c>
      <c r="G175">
        <v>7.3150000000000003E-3</v>
      </c>
      <c r="H175" t="s">
        <v>185</v>
      </c>
      <c r="J175">
        <f t="shared" si="2"/>
        <v>7.4000000000000003E-3</v>
      </c>
    </row>
    <row r="176" spans="1:10" x14ac:dyDescent="0.3">
      <c r="A176">
        <v>195</v>
      </c>
      <c r="B176">
        <v>15.056918</v>
      </c>
      <c r="C176" t="s">
        <v>8</v>
      </c>
      <c r="D176" t="s">
        <v>9</v>
      </c>
      <c r="E176" t="s">
        <v>14</v>
      </c>
      <c r="F176">
        <v>58</v>
      </c>
      <c r="G176">
        <v>1.4E-3</v>
      </c>
      <c r="H176" t="s">
        <v>186</v>
      </c>
      <c r="J176">
        <f t="shared" si="2"/>
        <v>1.4E-3</v>
      </c>
    </row>
    <row r="177" spans="1:10" x14ac:dyDescent="0.3">
      <c r="A177">
        <v>196</v>
      </c>
      <c r="B177">
        <v>15.099992</v>
      </c>
      <c r="C177" t="s">
        <v>9</v>
      </c>
      <c r="D177" t="s">
        <v>8</v>
      </c>
      <c r="E177" t="s">
        <v>10</v>
      </c>
      <c r="F177">
        <v>60</v>
      </c>
      <c r="G177">
        <v>4.3074000000000001E-2</v>
      </c>
      <c r="H177" t="s">
        <v>187</v>
      </c>
      <c r="J177">
        <f t="shared" si="2"/>
        <v>4.3099999999999999E-2</v>
      </c>
    </row>
    <row r="178" spans="1:10" x14ac:dyDescent="0.3">
      <c r="A178">
        <v>197</v>
      </c>
      <c r="B178">
        <v>15.639042</v>
      </c>
      <c r="C178" t="s">
        <v>9</v>
      </c>
      <c r="D178" t="s">
        <v>8</v>
      </c>
      <c r="E178" t="s">
        <v>14</v>
      </c>
      <c r="F178">
        <v>73</v>
      </c>
      <c r="G178">
        <v>0.53905000000000003</v>
      </c>
      <c r="H178" t="s">
        <v>188</v>
      </c>
      <c r="J178">
        <f t="shared" si="2"/>
        <v>0.53910000000000002</v>
      </c>
    </row>
    <row r="179" spans="1:10" x14ac:dyDescent="0.3">
      <c r="A179">
        <v>198</v>
      </c>
      <c r="B179">
        <v>15.639818</v>
      </c>
      <c r="C179" t="s">
        <v>8</v>
      </c>
      <c r="D179" t="s">
        <v>9</v>
      </c>
      <c r="E179" t="s">
        <v>14</v>
      </c>
      <c r="F179">
        <v>58</v>
      </c>
      <c r="G179">
        <v>7.76E-4</v>
      </c>
      <c r="H179" t="s">
        <v>189</v>
      </c>
      <c r="J179">
        <f t="shared" si="2"/>
        <v>8.0000000000000004E-4</v>
      </c>
    </row>
    <row r="180" spans="1:10" x14ac:dyDescent="0.3">
      <c r="A180">
        <v>199</v>
      </c>
      <c r="B180">
        <v>15.640072</v>
      </c>
      <c r="C180" t="s">
        <v>9</v>
      </c>
      <c r="D180" t="s">
        <v>8</v>
      </c>
      <c r="E180" t="s">
        <v>10</v>
      </c>
      <c r="F180">
        <v>60</v>
      </c>
      <c r="G180">
        <v>2.5399999999999999E-4</v>
      </c>
      <c r="H180" t="s">
        <v>190</v>
      </c>
      <c r="J180">
        <f t="shared" si="2"/>
        <v>3.0000000000000003E-4</v>
      </c>
    </row>
    <row r="181" spans="1:10" x14ac:dyDescent="0.3">
      <c r="A181">
        <v>200</v>
      </c>
      <c r="B181">
        <v>15.640625999999999</v>
      </c>
      <c r="C181" t="s">
        <v>9</v>
      </c>
      <c r="D181" t="s">
        <v>8</v>
      </c>
      <c r="E181" t="s">
        <v>14</v>
      </c>
      <c r="F181">
        <v>60</v>
      </c>
      <c r="G181">
        <v>5.5400000000000002E-4</v>
      </c>
      <c r="H181" t="s">
        <v>191</v>
      </c>
      <c r="J181">
        <f t="shared" si="2"/>
        <v>6.0000000000000006E-4</v>
      </c>
    </row>
    <row r="182" spans="1:10" x14ac:dyDescent="0.3">
      <c r="A182">
        <v>201</v>
      </c>
      <c r="B182">
        <v>15.641503</v>
      </c>
      <c r="C182" t="s">
        <v>8</v>
      </c>
      <c r="D182" t="s">
        <v>9</v>
      </c>
      <c r="E182" t="s">
        <v>14</v>
      </c>
      <c r="F182">
        <v>58</v>
      </c>
      <c r="G182">
        <v>8.7699999999999996E-4</v>
      </c>
      <c r="H182" t="s">
        <v>192</v>
      </c>
      <c r="J182">
        <f t="shared" si="2"/>
        <v>9.0000000000000008E-4</v>
      </c>
    </row>
    <row r="183" spans="1:10" x14ac:dyDescent="0.3">
      <c r="A183">
        <v>202</v>
      </c>
      <c r="B183">
        <v>15.683991000000001</v>
      </c>
      <c r="C183" t="s">
        <v>9</v>
      </c>
      <c r="D183" t="s">
        <v>8</v>
      </c>
      <c r="E183" t="s">
        <v>10</v>
      </c>
      <c r="F183">
        <v>60</v>
      </c>
      <c r="G183">
        <v>4.2487999999999998E-2</v>
      </c>
      <c r="H183" t="s">
        <v>193</v>
      </c>
      <c r="J183">
        <f t="shared" si="2"/>
        <v>4.2500000000000003E-2</v>
      </c>
    </row>
    <row r="184" spans="1:10" x14ac:dyDescent="0.3">
      <c r="A184">
        <v>204</v>
      </c>
      <c r="B184">
        <v>16.334166</v>
      </c>
      <c r="C184" t="s">
        <v>8</v>
      </c>
      <c r="D184" t="s">
        <v>9</v>
      </c>
      <c r="E184" t="s">
        <v>14</v>
      </c>
      <c r="F184">
        <v>73</v>
      </c>
      <c r="G184">
        <v>0.65017499999999995</v>
      </c>
      <c r="H184" t="s">
        <v>194</v>
      </c>
      <c r="J184">
        <f t="shared" si="2"/>
        <v>0.6502</v>
      </c>
    </row>
    <row r="185" spans="1:10" x14ac:dyDescent="0.3">
      <c r="A185">
        <v>205</v>
      </c>
      <c r="B185">
        <v>16.334838999999999</v>
      </c>
      <c r="C185" t="s">
        <v>9</v>
      </c>
      <c r="D185" t="s">
        <v>8</v>
      </c>
      <c r="E185" t="s">
        <v>10</v>
      </c>
      <c r="F185">
        <v>60</v>
      </c>
      <c r="G185">
        <v>6.7299999999999999E-4</v>
      </c>
      <c r="H185" t="s">
        <v>195</v>
      </c>
      <c r="J185">
        <f t="shared" si="2"/>
        <v>6.9999999999999999E-4</v>
      </c>
    </row>
    <row r="186" spans="1:10" x14ac:dyDescent="0.3">
      <c r="A186">
        <v>206</v>
      </c>
      <c r="B186">
        <v>16.339573000000001</v>
      </c>
      <c r="C186" t="s">
        <v>9</v>
      </c>
      <c r="D186" t="s">
        <v>8</v>
      </c>
      <c r="E186" t="s">
        <v>14</v>
      </c>
      <c r="F186">
        <v>60</v>
      </c>
      <c r="G186">
        <v>4.7340000000000004E-3</v>
      </c>
      <c r="H186" t="s">
        <v>196</v>
      </c>
      <c r="J186">
        <f t="shared" si="2"/>
        <v>4.8000000000000004E-3</v>
      </c>
    </row>
    <row r="187" spans="1:10" x14ac:dyDescent="0.3">
      <c r="A187">
        <v>207</v>
      </c>
      <c r="B187">
        <v>16.340613999999999</v>
      </c>
      <c r="C187" t="s">
        <v>9</v>
      </c>
      <c r="D187" t="s">
        <v>8</v>
      </c>
      <c r="E187" t="s">
        <v>14</v>
      </c>
      <c r="F187">
        <v>73</v>
      </c>
      <c r="G187">
        <v>1.041E-3</v>
      </c>
      <c r="H187" t="s">
        <v>197</v>
      </c>
      <c r="J187">
        <f t="shared" si="2"/>
        <v>1.1000000000000001E-3</v>
      </c>
    </row>
    <row r="188" spans="1:10" x14ac:dyDescent="0.3">
      <c r="A188">
        <v>208</v>
      </c>
      <c r="B188">
        <v>16.340631999999999</v>
      </c>
      <c r="C188" t="s">
        <v>8</v>
      </c>
      <c r="D188" t="s">
        <v>9</v>
      </c>
      <c r="E188" t="s">
        <v>10</v>
      </c>
      <c r="F188">
        <v>54</v>
      </c>
      <c r="G188">
        <v>1.8E-5</v>
      </c>
      <c r="H188" t="s">
        <v>198</v>
      </c>
      <c r="J188">
        <f t="shared" si="2"/>
        <v>1E-4</v>
      </c>
    </row>
    <row r="189" spans="1:10" x14ac:dyDescent="0.3">
      <c r="A189">
        <v>209</v>
      </c>
      <c r="B189">
        <v>16.341640000000002</v>
      </c>
      <c r="C189" t="s">
        <v>8</v>
      </c>
      <c r="D189" t="s">
        <v>9</v>
      </c>
      <c r="E189" t="s">
        <v>14</v>
      </c>
      <c r="F189">
        <v>58</v>
      </c>
      <c r="G189">
        <v>1.008E-3</v>
      </c>
      <c r="H189" t="s">
        <v>199</v>
      </c>
      <c r="J189">
        <f t="shared" si="2"/>
        <v>1.1000000000000001E-3</v>
      </c>
    </row>
    <row r="190" spans="1:10" x14ac:dyDescent="0.3">
      <c r="A190">
        <v>210</v>
      </c>
      <c r="B190">
        <v>16.342485</v>
      </c>
      <c r="C190" t="s">
        <v>9</v>
      </c>
      <c r="D190" t="s">
        <v>8</v>
      </c>
      <c r="E190" t="s">
        <v>14</v>
      </c>
      <c r="F190">
        <v>60</v>
      </c>
      <c r="G190">
        <v>8.4500000000000005E-4</v>
      </c>
      <c r="H190" t="s">
        <v>200</v>
      </c>
      <c r="J190">
        <f t="shared" si="2"/>
        <v>9.0000000000000008E-4</v>
      </c>
    </row>
    <row r="191" spans="1:10" x14ac:dyDescent="0.3">
      <c r="A191">
        <v>211</v>
      </c>
      <c r="B191">
        <v>16.342511999999999</v>
      </c>
      <c r="C191" t="s">
        <v>8</v>
      </c>
      <c r="D191" t="s">
        <v>9</v>
      </c>
      <c r="E191" t="s">
        <v>14</v>
      </c>
      <c r="F191">
        <v>58</v>
      </c>
      <c r="G191">
        <v>2.6999999999999999E-5</v>
      </c>
      <c r="H191" t="s">
        <v>201</v>
      </c>
      <c r="J191">
        <f t="shared" si="2"/>
        <v>1E-4</v>
      </c>
    </row>
    <row r="192" spans="1:10" x14ac:dyDescent="0.3">
      <c r="A192">
        <v>212</v>
      </c>
      <c r="B192">
        <v>16.343343999999998</v>
      </c>
      <c r="C192" t="s">
        <v>9</v>
      </c>
      <c r="D192" t="s">
        <v>8</v>
      </c>
      <c r="E192" t="s">
        <v>14</v>
      </c>
      <c r="F192">
        <v>60</v>
      </c>
      <c r="G192">
        <v>8.3199999999999995E-4</v>
      </c>
      <c r="H192" t="s">
        <v>202</v>
      </c>
      <c r="J192">
        <f t="shared" si="2"/>
        <v>9.0000000000000008E-4</v>
      </c>
    </row>
    <row r="193" spans="1:10" x14ac:dyDescent="0.3">
      <c r="A193">
        <v>213</v>
      </c>
      <c r="B193">
        <v>16.353024000000001</v>
      </c>
      <c r="C193" t="s">
        <v>8</v>
      </c>
      <c r="D193" t="s">
        <v>9</v>
      </c>
      <c r="E193" t="s">
        <v>14</v>
      </c>
      <c r="F193">
        <v>58</v>
      </c>
      <c r="G193">
        <v>9.6799999999999994E-3</v>
      </c>
      <c r="H193" t="s">
        <v>203</v>
      </c>
      <c r="J193">
        <f t="shared" si="2"/>
        <v>9.6999999999999986E-3</v>
      </c>
    </row>
    <row r="194" spans="1:10" x14ac:dyDescent="0.3">
      <c r="A194">
        <v>216</v>
      </c>
      <c r="B194">
        <v>16.396038999999998</v>
      </c>
      <c r="C194" t="s">
        <v>9</v>
      </c>
      <c r="D194" t="s">
        <v>8</v>
      </c>
      <c r="E194" t="s">
        <v>10</v>
      </c>
      <c r="F194">
        <v>60</v>
      </c>
      <c r="G194">
        <v>4.3014999999999998E-2</v>
      </c>
      <c r="H194" t="s">
        <v>204</v>
      </c>
      <c r="J194">
        <f t="shared" si="2"/>
        <v>4.3099999999999999E-2</v>
      </c>
    </row>
    <row r="195" spans="1:10" x14ac:dyDescent="0.3">
      <c r="A195">
        <v>219</v>
      </c>
      <c r="B195">
        <v>16.889617999999999</v>
      </c>
      <c r="C195" t="s">
        <v>9</v>
      </c>
      <c r="D195" t="s">
        <v>8</v>
      </c>
      <c r="E195" t="s">
        <v>14</v>
      </c>
      <c r="F195">
        <v>73</v>
      </c>
      <c r="G195">
        <v>0.49357899999999999</v>
      </c>
      <c r="H195" t="s">
        <v>205</v>
      </c>
      <c r="J195">
        <f t="shared" si="2"/>
        <v>0.49359999999999998</v>
      </c>
    </row>
    <row r="196" spans="1:10" x14ac:dyDescent="0.3">
      <c r="A196">
        <v>220</v>
      </c>
      <c r="B196">
        <v>16.890782000000002</v>
      </c>
      <c r="C196" t="s">
        <v>8</v>
      </c>
      <c r="D196" t="s">
        <v>9</v>
      </c>
      <c r="E196" t="s">
        <v>14</v>
      </c>
      <c r="F196">
        <v>58</v>
      </c>
      <c r="G196">
        <v>1.1640000000000001E-3</v>
      </c>
      <c r="H196" t="s">
        <v>206</v>
      </c>
      <c r="J196">
        <f t="shared" ref="J196:J259" si="3">ROUNDUP(G196,4)</f>
        <v>1.2000000000000001E-3</v>
      </c>
    </row>
    <row r="197" spans="1:10" x14ac:dyDescent="0.3">
      <c r="A197">
        <v>221</v>
      </c>
      <c r="B197">
        <v>16.891062000000002</v>
      </c>
      <c r="C197" t="s">
        <v>9</v>
      </c>
      <c r="D197" t="s">
        <v>8</v>
      </c>
      <c r="E197" t="s">
        <v>10</v>
      </c>
      <c r="F197">
        <v>60</v>
      </c>
      <c r="G197">
        <v>2.7999999999999998E-4</v>
      </c>
      <c r="H197" t="s">
        <v>207</v>
      </c>
      <c r="J197">
        <f t="shared" si="3"/>
        <v>3.0000000000000003E-4</v>
      </c>
    </row>
    <row r="198" spans="1:10" x14ac:dyDescent="0.3">
      <c r="A198">
        <v>222</v>
      </c>
      <c r="B198">
        <v>16.892123000000002</v>
      </c>
      <c r="C198" t="s">
        <v>9</v>
      </c>
      <c r="D198" t="s">
        <v>8</v>
      </c>
      <c r="E198" t="s">
        <v>14</v>
      </c>
      <c r="F198">
        <v>60</v>
      </c>
      <c r="G198">
        <v>1.0610000000000001E-3</v>
      </c>
      <c r="H198" t="s">
        <v>208</v>
      </c>
      <c r="J198">
        <f t="shared" si="3"/>
        <v>1.1000000000000001E-3</v>
      </c>
    </row>
    <row r="199" spans="1:10" x14ac:dyDescent="0.3">
      <c r="A199">
        <v>223</v>
      </c>
      <c r="B199">
        <v>16.893108000000002</v>
      </c>
      <c r="C199" t="s">
        <v>8</v>
      </c>
      <c r="D199" t="s">
        <v>9</v>
      </c>
      <c r="E199" t="s">
        <v>14</v>
      </c>
      <c r="F199">
        <v>58</v>
      </c>
      <c r="G199">
        <v>9.8499999999999998E-4</v>
      </c>
      <c r="H199" t="s">
        <v>209</v>
      </c>
      <c r="J199">
        <f t="shared" si="3"/>
        <v>1E-3</v>
      </c>
    </row>
    <row r="200" spans="1:10" x14ac:dyDescent="0.3">
      <c r="A200">
        <v>224</v>
      </c>
      <c r="B200">
        <v>16.935991999999999</v>
      </c>
      <c r="C200" t="s">
        <v>9</v>
      </c>
      <c r="D200" t="s">
        <v>8</v>
      </c>
      <c r="E200" t="s">
        <v>10</v>
      </c>
      <c r="F200">
        <v>60</v>
      </c>
      <c r="G200">
        <v>4.2883999999999999E-2</v>
      </c>
      <c r="H200" t="s">
        <v>210</v>
      </c>
      <c r="J200">
        <f t="shared" si="3"/>
        <v>4.2900000000000001E-2</v>
      </c>
    </row>
    <row r="201" spans="1:10" x14ac:dyDescent="0.3">
      <c r="A201">
        <v>227</v>
      </c>
      <c r="B201">
        <v>17.543011</v>
      </c>
      <c r="C201" t="s">
        <v>8</v>
      </c>
      <c r="D201" t="s">
        <v>9</v>
      </c>
      <c r="E201" t="s">
        <v>14</v>
      </c>
      <c r="F201">
        <v>73</v>
      </c>
      <c r="G201">
        <v>0.60701899999999998</v>
      </c>
      <c r="H201" t="s">
        <v>211</v>
      </c>
      <c r="J201">
        <f t="shared" si="3"/>
        <v>0.60709999999999997</v>
      </c>
    </row>
    <row r="202" spans="1:10" x14ac:dyDescent="0.3">
      <c r="A202">
        <v>228</v>
      </c>
      <c r="B202">
        <v>17.543665000000001</v>
      </c>
      <c r="C202" t="s">
        <v>9</v>
      </c>
      <c r="D202" t="s">
        <v>8</v>
      </c>
      <c r="E202" t="s">
        <v>10</v>
      </c>
      <c r="F202">
        <v>60</v>
      </c>
      <c r="G202">
        <v>6.5399999999999996E-4</v>
      </c>
      <c r="H202" t="s">
        <v>212</v>
      </c>
      <c r="J202">
        <f t="shared" si="3"/>
        <v>6.9999999999999999E-4</v>
      </c>
    </row>
    <row r="203" spans="1:10" x14ac:dyDescent="0.3">
      <c r="A203">
        <v>229</v>
      </c>
      <c r="B203">
        <v>17.547706999999999</v>
      </c>
      <c r="C203" t="s">
        <v>9</v>
      </c>
      <c r="D203" t="s">
        <v>8</v>
      </c>
      <c r="E203" t="s">
        <v>14</v>
      </c>
      <c r="F203">
        <v>60</v>
      </c>
      <c r="G203">
        <v>4.0419999999999996E-3</v>
      </c>
      <c r="H203" t="s">
        <v>213</v>
      </c>
      <c r="J203">
        <f t="shared" si="3"/>
        <v>4.1000000000000003E-3</v>
      </c>
    </row>
    <row r="204" spans="1:10" x14ac:dyDescent="0.3">
      <c r="A204">
        <v>230</v>
      </c>
      <c r="B204">
        <v>17.548446999999999</v>
      </c>
      <c r="C204" t="s">
        <v>8</v>
      </c>
      <c r="D204" t="s">
        <v>9</v>
      </c>
      <c r="E204" t="s">
        <v>14</v>
      </c>
      <c r="F204">
        <v>58</v>
      </c>
      <c r="G204">
        <v>7.3999999999999999E-4</v>
      </c>
      <c r="H204" t="s">
        <v>214</v>
      </c>
      <c r="J204">
        <f t="shared" si="3"/>
        <v>8.0000000000000004E-4</v>
      </c>
    </row>
    <row r="205" spans="1:10" x14ac:dyDescent="0.3">
      <c r="A205">
        <v>231</v>
      </c>
      <c r="B205">
        <v>17.549040000000002</v>
      </c>
      <c r="C205" t="s">
        <v>9</v>
      </c>
      <c r="D205" t="s">
        <v>8</v>
      </c>
      <c r="E205" t="s">
        <v>14</v>
      </c>
      <c r="F205">
        <v>73</v>
      </c>
      <c r="G205">
        <v>5.9299999999999999E-4</v>
      </c>
      <c r="H205" t="s">
        <v>215</v>
      </c>
      <c r="J205">
        <f t="shared" si="3"/>
        <v>6.0000000000000006E-4</v>
      </c>
    </row>
    <row r="206" spans="1:10" x14ac:dyDescent="0.3">
      <c r="A206">
        <v>232</v>
      </c>
      <c r="B206">
        <v>17.549569000000002</v>
      </c>
      <c r="C206" t="s">
        <v>8</v>
      </c>
      <c r="D206" t="s">
        <v>9</v>
      </c>
      <c r="E206" t="s">
        <v>14</v>
      </c>
      <c r="F206">
        <v>58</v>
      </c>
      <c r="G206">
        <v>5.2899999999999996E-4</v>
      </c>
      <c r="H206" t="s">
        <v>216</v>
      </c>
      <c r="J206">
        <f t="shared" si="3"/>
        <v>6.0000000000000006E-4</v>
      </c>
    </row>
    <row r="207" spans="1:10" x14ac:dyDescent="0.3">
      <c r="A207">
        <v>233</v>
      </c>
      <c r="B207">
        <v>17.550930000000001</v>
      </c>
      <c r="C207" t="s">
        <v>9</v>
      </c>
      <c r="D207" t="s">
        <v>8</v>
      </c>
      <c r="E207" t="s">
        <v>14</v>
      </c>
      <c r="F207">
        <v>60</v>
      </c>
      <c r="G207">
        <v>1.361E-3</v>
      </c>
      <c r="H207" t="s">
        <v>217</v>
      </c>
      <c r="J207">
        <f t="shared" si="3"/>
        <v>1.4E-3</v>
      </c>
    </row>
    <row r="208" spans="1:10" x14ac:dyDescent="0.3">
      <c r="A208">
        <v>234</v>
      </c>
      <c r="B208">
        <v>17.551515999999999</v>
      </c>
      <c r="C208" t="s">
        <v>9</v>
      </c>
      <c r="D208" t="s">
        <v>8</v>
      </c>
      <c r="E208" t="s">
        <v>14</v>
      </c>
      <c r="F208">
        <v>60</v>
      </c>
      <c r="G208">
        <v>5.8600000000000004E-4</v>
      </c>
      <c r="H208" t="s">
        <v>218</v>
      </c>
      <c r="J208">
        <f t="shared" si="3"/>
        <v>6.0000000000000006E-4</v>
      </c>
    </row>
    <row r="209" spans="1:10" x14ac:dyDescent="0.3">
      <c r="A209">
        <v>235</v>
      </c>
      <c r="B209">
        <v>17.551538000000001</v>
      </c>
      <c r="C209" t="s">
        <v>8</v>
      </c>
      <c r="D209" t="s">
        <v>9</v>
      </c>
      <c r="E209" t="s">
        <v>10</v>
      </c>
      <c r="F209">
        <v>54</v>
      </c>
      <c r="G209">
        <v>2.1999999999999999E-5</v>
      </c>
      <c r="H209" t="s">
        <v>219</v>
      </c>
      <c r="J209">
        <f t="shared" si="3"/>
        <v>1E-4</v>
      </c>
    </row>
    <row r="210" spans="1:10" x14ac:dyDescent="0.3">
      <c r="A210">
        <v>236</v>
      </c>
      <c r="B210">
        <v>17.559455</v>
      </c>
      <c r="C210" t="s">
        <v>8</v>
      </c>
      <c r="D210" t="s">
        <v>9</v>
      </c>
      <c r="E210" t="s">
        <v>14</v>
      </c>
      <c r="F210">
        <v>58</v>
      </c>
      <c r="G210">
        <v>7.9170000000000004E-3</v>
      </c>
      <c r="H210" t="s">
        <v>220</v>
      </c>
      <c r="J210">
        <f t="shared" si="3"/>
        <v>8.0000000000000002E-3</v>
      </c>
    </row>
    <row r="211" spans="1:10" x14ac:dyDescent="0.3">
      <c r="A211">
        <v>237</v>
      </c>
      <c r="B211">
        <v>17.603878000000002</v>
      </c>
      <c r="C211" t="s">
        <v>9</v>
      </c>
      <c r="D211" t="s">
        <v>8</v>
      </c>
      <c r="E211" t="s">
        <v>10</v>
      </c>
      <c r="F211">
        <v>60</v>
      </c>
      <c r="G211">
        <v>4.4422999999999997E-2</v>
      </c>
      <c r="H211" t="s">
        <v>221</v>
      </c>
      <c r="J211">
        <f t="shared" si="3"/>
        <v>4.4500000000000005E-2</v>
      </c>
    </row>
    <row r="212" spans="1:10" x14ac:dyDescent="0.3">
      <c r="A212">
        <v>241</v>
      </c>
      <c r="B212">
        <v>18.136023000000002</v>
      </c>
      <c r="C212" t="s">
        <v>9</v>
      </c>
      <c r="D212" t="s">
        <v>8</v>
      </c>
      <c r="E212" t="s">
        <v>14</v>
      </c>
      <c r="F212">
        <v>73</v>
      </c>
      <c r="G212">
        <v>0.53214499999999998</v>
      </c>
      <c r="H212" t="s">
        <v>222</v>
      </c>
      <c r="J212">
        <f t="shared" si="3"/>
        <v>0.53220000000000001</v>
      </c>
    </row>
    <row r="213" spans="1:10" x14ac:dyDescent="0.3">
      <c r="A213">
        <v>242</v>
      </c>
      <c r="B213">
        <v>18.137060999999999</v>
      </c>
      <c r="C213" t="s">
        <v>8</v>
      </c>
      <c r="D213" t="s">
        <v>9</v>
      </c>
      <c r="E213" t="s">
        <v>14</v>
      </c>
      <c r="F213">
        <v>58</v>
      </c>
      <c r="G213">
        <v>1.0380000000000001E-3</v>
      </c>
      <c r="H213" t="s">
        <v>223</v>
      </c>
      <c r="J213">
        <f t="shared" si="3"/>
        <v>1.1000000000000001E-3</v>
      </c>
    </row>
    <row r="214" spans="1:10" x14ac:dyDescent="0.3">
      <c r="A214">
        <v>243</v>
      </c>
      <c r="B214">
        <v>18.137385999999999</v>
      </c>
      <c r="C214" t="s">
        <v>9</v>
      </c>
      <c r="D214" t="s">
        <v>8</v>
      </c>
      <c r="E214" t="s">
        <v>10</v>
      </c>
      <c r="F214">
        <v>60</v>
      </c>
      <c r="G214">
        <v>3.2499999999999999E-4</v>
      </c>
      <c r="H214" t="s">
        <v>224</v>
      </c>
      <c r="J214">
        <f t="shared" si="3"/>
        <v>3.9999999999999996E-4</v>
      </c>
    </row>
    <row r="215" spans="1:10" x14ac:dyDescent="0.3">
      <c r="A215">
        <v>244</v>
      </c>
      <c r="B215">
        <v>18.138069999999999</v>
      </c>
      <c r="C215" t="s">
        <v>9</v>
      </c>
      <c r="D215" t="s">
        <v>8</v>
      </c>
      <c r="E215" t="s">
        <v>14</v>
      </c>
      <c r="F215">
        <v>60</v>
      </c>
      <c r="G215">
        <v>6.8400000000000004E-4</v>
      </c>
      <c r="H215" t="s">
        <v>225</v>
      </c>
      <c r="J215">
        <f t="shared" si="3"/>
        <v>6.9999999999999999E-4</v>
      </c>
    </row>
    <row r="216" spans="1:10" x14ac:dyDescent="0.3">
      <c r="A216">
        <v>245</v>
      </c>
      <c r="B216">
        <v>18.139451000000001</v>
      </c>
      <c r="C216" t="s">
        <v>8</v>
      </c>
      <c r="D216" t="s">
        <v>9</v>
      </c>
      <c r="E216" t="s">
        <v>14</v>
      </c>
      <c r="F216">
        <v>58</v>
      </c>
      <c r="G216">
        <v>1.3810000000000001E-3</v>
      </c>
      <c r="H216" t="s">
        <v>226</v>
      </c>
      <c r="J216">
        <f t="shared" si="3"/>
        <v>1.4E-3</v>
      </c>
    </row>
    <row r="217" spans="1:10" x14ac:dyDescent="0.3">
      <c r="A217">
        <v>246</v>
      </c>
      <c r="B217">
        <v>18.183947</v>
      </c>
      <c r="C217" t="s">
        <v>9</v>
      </c>
      <c r="D217" t="s">
        <v>8</v>
      </c>
      <c r="E217" t="s">
        <v>10</v>
      </c>
      <c r="F217">
        <v>60</v>
      </c>
      <c r="G217">
        <v>4.4496000000000001E-2</v>
      </c>
      <c r="H217" t="s">
        <v>227</v>
      </c>
      <c r="J217">
        <f t="shared" si="3"/>
        <v>4.4500000000000005E-2</v>
      </c>
    </row>
    <row r="218" spans="1:10" x14ac:dyDescent="0.3">
      <c r="A218">
        <v>247</v>
      </c>
      <c r="B218">
        <v>18.706948000000001</v>
      </c>
      <c r="C218" t="s">
        <v>8</v>
      </c>
      <c r="D218" t="s">
        <v>9</v>
      </c>
      <c r="E218" t="s">
        <v>14</v>
      </c>
      <c r="F218">
        <v>73</v>
      </c>
      <c r="G218">
        <v>0.52300100000000005</v>
      </c>
      <c r="H218" t="s">
        <v>228</v>
      </c>
      <c r="J218">
        <f t="shared" si="3"/>
        <v>0.52310000000000001</v>
      </c>
    </row>
    <row r="219" spans="1:10" x14ac:dyDescent="0.3">
      <c r="A219">
        <v>248</v>
      </c>
      <c r="B219">
        <v>18.707571999999999</v>
      </c>
      <c r="C219" t="s">
        <v>9</v>
      </c>
      <c r="D219" t="s">
        <v>8</v>
      </c>
      <c r="E219" t="s">
        <v>10</v>
      </c>
      <c r="F219">
        <v>60</v>
      </c>
      <c r="G219">
        <v>6.2399999999999999E-4</v>
      </c>
      <c r="H219" t="s">
        <v>229</v>
      </c>
      <c r="J219">
        <f t="shared" si="3"/>
        <v>6.9999999999999999E-4</v>
      </c>
    </row>
    <row r="220" spans="1:10" x14ac:dyDescent="0.3">
      <c r="A220">
        <v>249</v>
      </c>
      <c r="B220">
        <v>18.712109000000002</v>
      </c>
      <c r="C220" t="s">
        <v>9</v>
      </c>
      <c r="D220" t="s">
        <v>8</v>
      </c>
      <c r="E220" t="s">
        <v>14</v>
      </c>
      <c r="F220">
        <v>60</v>
      </c>
      <c r="G220">
        <v>4.5370000000000002E-3</v>
      </c>
      <c r="H220" t="s">
        <v>230</v>
      </c>
      <c r="J220">
        <f t="shared" si="3"/>
        <v>4.5999999999999999E-3</v>
      </c>
    </row>
    <row r="221" spans="1:10" x14ac:dyDescent="0.3">
      <c r="A221">
        <v>250</v>
      </c>
      <c r="B221">
        <v>18.712948999999998</v>
      </c>
      <c r="C221" t="s">
        <v>8</v>
      </c>
      <c r="D221" t="s">
        <v>9</v>
      </c>
      <c r="E221" t="s">
        <v>14</v>
      </c>
      <c r="F221">
        <v>58</v>
      </c>
      <c r="G221">
        <v>8.4000000000000003E-4</v>
      </c>
      <c r="H221" t="s">
        <v>231</v>
      </c>
      <c r="J221">
        <f t="shared" si="3"/>
        <v>9.0000000000000008E-4</v>
      </c>
    </row>
    <row r="222" spans="1:10" x14ac:dyDescent="0.3">
      <c r="A222">
        <v>251</v>
      </c>
      <c r="B222">
        <v>18.712987999999999</v>
      </c>
      <c r="C222" t="s">
        <v>9</v>
      </c>
      <c r="D222" t="s">
        <v>8</v>
      </c>
      <c r="E222" t="s">
        <v>14</v>
      </c>
      <c r="F222">
        <v>73</v>
      </c>
      <c r="G222">
        <v>3.8999999999999999E-5</v>
      </c>
      <c r="H222" t="s">
        <v>232</v>
      </c>
      <c r="J222">
        <f t="shared" si="3"/>
        <v>1E-4</v>
      </c>
    </row>
    <row r="223" spans="1:10" x14ac:dyDescent="0.3">
      <c r="A223">
        <v>252</v>
      </c>
      <c r="B223">
        <v>18.714117000000002</v>
      </c>
      <c r="C223" t="s">
        <v>9</v>
      </c>
      <c r="D223" t="s">
        <v>8</v>
      </c>
      <c r="E223" t="s">
        <v>14</v>
      </c>
      <c r="F223">
        <v>60</v>
      </c>
      <c r="G223">
        <v>1.129E-3</v>
      </c>
      <c r="H223" t="s">
        <v>233</v>
      </c>
      <c r="J223">
        <f t="shared" si="3"/>
        <v>1.2000000000000001E-3</v>
      </c>
    </row>
    <row r="224" spans="1:10" x14ac:dyDescent="0.3">
      <c r="A224">
        <v>253</v>
      </c>
      <c r="B224">
        <v>18.714146</v>
      </c>
      <c r="C224" t="s">
        <v>8</v>
      </c>
      <c r="D224" t="s">
        <v>9</v>
      </c>
      <c r="E224" t="s">
        <v>14</v>
      </c>
      <c r="F224">
        <v>58</v>
      </c>
      <c r="G224">
        <v>2.9E-5</v>
      </c>
      <c r="H224" t="s">
        <v>234</v>
      </c>
      <c r="J224">
        <f t="shared" si="3"/>
        <v>1E-4</v>
      </c>
    </row>
    <row r="225" spans="1:10" x14ac:dyDescent="0.3">
      <c r="A225">
        <v>254</v>
      </c>
      <c r="B225">
        <v>18.715147999999999</v>
      </c>
      <c r="C225" t="s">
        <v>9</v>
      </c>
      <c r="D225" t="s">
        <v>8</v>
      </c>
      <c r="E225" t="s">
        <v>14</v>
      </c>
      <c r="F225">
        <v>60</v>
      </c>
      <c r="G225">
        <v>1.0020000000000001E-3</v>
      </c>
      <c r="H225" t="s">
        <v>235</v>
      </c>
      <c r="J225">
        <f t="shared" si="3"/>
        <v>1.1000000000000001E-3</v>
      </c>
    </row>
    <row r="226" spans="1:10" x14ac:dyDescent="0.3">
      <c r="A226">
        <v>255</v>
      </c>
      <c r="B226">
        <v>18.722465</v>
      </c>
      <c r="C226" t="s">
        <v>8</v>
      </c>
      <c r="D226" t="s">
        <v>9</v>
      </c>
      <c r="E226" t="s">
        <v>14</v>
      </c>
      <c r="F226">
        <v>58</v>
      </c>
      <c r="G226">
        <v>7.3169999999999997E-3</v>
      </c>
      <c r="H226" t="s">
        <v>236</v>
      </c>
      <c r="J226">
        <f t="shared" si="3"/>
        <v>7.4000000000000003E-3</v>
      </c>
    </row>
    <row r="227" spans="1:10" x14ac:dyDescent="0.3">
      <c r="A227">
        <v>256</v>
      </c>
      <c r="B227">
        <v>18.764092000000002</v>
      </c>
      <c r="C227" t="s">
        <v>9</v>
      </c>
      <c r="D227" t="s">
        <v>8</v>
      </c>
      <c r="E227" t="s">
        <v>10</v>
      </c>
      <c r="F227">
        <v>60</v>
      </c>
      <c r="G227">
        <v>4.1626999999999997E-2</v>
      </c>
      <c r="H227" t="s">
        <v>237</v>
      </c>
      <c r="J227">
        <f t="shared" si="3"/>
        <v>4.1700000000000001E-2</v>
      </c>
    </row>
    <row r="228" spans="1:10" x14ac:dyDescent="0.3">
      <c r="A228">
        <v>257</v>
      </c>
      <c r="B228">
        <v>19.296106000000002</v>
      </c>
      <c r="C228" t="s">
        <v>9</v>
      </c>
      <c r="D228" t="s">
        <v>8</v>
      </c>
      <c r="E228" t="s">
        <v>14</v>
      </c>
      <c r="F228">
        <v>73</v>
      </c>
      <c r="G228">
        <v>0.53201399999999999</v>
      </c>
      <c r="H228" t="s">
        <v>238</v>
      </c>
      <c r="J228">
        <f t="shared" si="3"/>
        <v>0.53210000000000002</v>
      </c>
    </row>
    <row r="229" spans="1:10" x14ac:dyDescent="0.3">
      <c r="A229">
        <v>258</v>
      </c>
      <c r="B229">
        <v>19.297376</v>
      </c>
      <c r="C229" t="s">
        <v>8</v>
      </c>
      <c r="D229" t="s">
        <v>9</v>
      </c>
      <c r="E229" t="s">
        <v>14</v>
      </c>
      <c r="F229">
        <v>58</v>
      </c>
      <c r="G229">
        <v>1.2700000000000001E-3</v>
      </c>
      <c r="H229" t="s">
        <v>239</v>
      </c>
      <c r="J229">
        <f t="shared" si="3"/>
        <v>1.2999999999999999E-3</v>
      </c>
    </row>
    <row r="230" spans="1:10" x14ac:dyDescent="0.3">
      <c r="A230">
        <v>259</v>
      </c>
      <c r="B230">
        <v>19.297794</v>
      </c>
      <c r="C230" t="s">
        <v>9</v>
      </c>
      <c r="D230" t="s">
        <v>8</v>
      </c>
      <c r="E230" t="s">
        <v>10</v>
      </c>
      <c r="F230">
        <v>60</v>
      </c>
      <c r="G230">
        <v>4.1800000000000002E-4</v>
      </c>
      <c r="H230" t="s">
        <v>240</v>
      </c>
      <c r="J230">
        <f t="shared" si="3"/>
        <v>5.0000000000000001E-4</v>
      </c>
    </row>
    <row r="231" spans="1:10" x14ac:dyDescent="0.3">
      <c r="A231">
        <v>260</v>
      </c>
      <c r="B231">
        <v>19.299011</v>
      </c>
      <c r="C231" t="s">
        <v>9</v>
      </c>
      <c r="D231" t="s">
        <v>8</v>
      </c>
      <c r="E231" t="s">
        <v>14</v>
      </c>
      <c r="F231">
        <v>60</v>
      </c>
      <c r="G231">
        <v>1.217E-3</v>
      </c>
      <c r="H231" t="s">
        <v>241</v>
      </c>
      <c r="J231">
        <f t="shared" si="3"/>
        <v>1.2999999999999999E-3</v>
      </c>
    </row>
    <row r="232" spans="1:10" x14ac:dyDescent="0.3">
      <c r="A232">
        <v>261</v>
      </c>
      <c r="B232">
        <v>19.300388000000002</v>
      </c>
      <c r="C232" t="s">
        <v>8</v>
      </c>
      <c r="D232" t="s">
        <v>9</v>
      </c>
      <c r="E232" t="s">
        <v>14</v>
      </c>
      <c r="F232">
        <v>58</v>
      </c>
      <c r="G232">
        <v>1.377E-3</v>
      </c>
      <c r="H232" t="s">
        <v>242</v>
      </c>
      <c r="J232">
        <f t="shared" si="3"/>
        <v>1.4E-3</v>
      </c>
    </row>
    <row r="233" spans="1:10" x14ac:dyDescent="0.3">
      <c r="A233">
        <v>262</v>
      </c>
      <c r="B233">
        <v>19.337707999999999</v>
      </c>
      <c r="C233" t="s">
        <v>8</v>
      </c>
      <c r="D233" t="s">
        <v>243</v>
      </c>
      <c r="E233" t="s">
        <v>10</v>
      </c>
      <c r="F233">
        <v>66</v>
      </c>
      <c r="G233">
        <v>3.7319999999999999E-2</v>
      </c>
      <c r="H233" t="s">
        <v>244</v>
      </c>
      <c r="J233">
        <f t="shared" si="3"/>
        <v>3.7400000000000003E-2</v>
      </c>
    </row>
    <row r="234" spans="1:10" x14ac:dyDescent="0.3">
      <c r="A234">
        <v>263</v>
      </c>
      <c r="B234">
        <v>19.338160999999999</v>
      </c>
      <c r="C234" t="s">
        <v>8</v>
      </c>
      <c r="D234" t="s">
        <v>245</v>
      </c>
      <c r="E234" t="s">
        <v>10</v>
      </c>
      <c r="F234">
        <v>66</v>
      </c>
      <c r="G234">
        <v>4.5300000000000001E-4</v>
      </c>
      <c r="H234" t="s">
        <v>246</v>
      </c>
      <c r="J234">
        <f t="shared" si="3"/>
        <v>5.0000000000000001E-4</v>
      </c>
    </row>
    <row r="235" spans="1:10" x14ac:dyDescent="0.3">
      <c r="A235">
        <v>264</v>
      </c>
      <c r="B235">
        <v>19.344068</v>
      </c>
      <c r="C235" t="s">
        <v>9</v>
      </c>
      <c r="D235" t="s">
        <v>8</v>
      </c>
      <c r="E235" t="s">
        <v>10</v>
      </c>
      <c r="F235">
        <v>60</v>
      </c>
      <c r="G235">
        <v>5.9069999999999999E-3</v>
      </c>
      <c r="H235" t="s">
        <v>247</v>
      </c>
      <c r="J235">
        <f t="shared" si="3"/>
        <v>6.0000000000000001E-3</v>
      </c>
    </row>
    <row r="236" spans="1:10" x14ac:dyDescent="0.3">
      <c r="A236">
        <v>267</v>
      </c>
      <c r="B236">
        <v>19.854951</v>
      </c>
      <c r="C236" t="s">
        <v>8</v>
      </c>
      <c r="D236" t="s">
        <v>9</v>
      </c>
      <c r="E236" t="s">
        <v>14</v>
      </c>
      <c r="F236">
        <v>73</v>
      </c>
      <c r="G236">
        <v>0.51088299999999998</v>
      </c>
      <c r="H236" t="s">
        <v>248</v>
      </c>
      <c r="J236">
        <f t="shared" si="3"/>
        <v>0.51090000000000002</v>
      </c>
    </row>
    <row r="237" spans="1:10" x14ac:dyDescent="0.3">
      <c r="A237">
        <v>268</v>
      </c>
      <c r="B237">
        <v>19.855626999999998</v>
      </c>
      <c r="C237" t="s">
        <v>9</v>
      </c>
      <c r="D237" t="s">
        <v>8</v>
      </c>
      <c r="E237" t="s">
        <v>10</v>
      </c>
      <c r="F237">
        <v>60</v>
      </c>
      <c r="G237">
        <v>6.7599999999999995E-4</v>
      </c>
      <c r="H237" t="s">
        <v>249</v>
      </c>
      <c r="J237">
        <f t="shared" si="3"/>
        <v>6.9999999999999999E-4</v>
      </c>
    </row>
    <row r="238" spans="1:10" x14ac:dyDescent="0.3">
      <c r="A238">
        <v>269</v>
      </c>
      <c r="B238">
        <v>19.860289000000002</v>
      </c>
      <c r="C238" t="s">
        <v>9</v>
      </c>
      <c r="D238" t="s">
        <v>8</v>
      </c>
      <c r="E238" t="s">
        <v>14</v>
      </c>
      <c r="F238">
        <v>60</v>
      </c>
      <c r="G238">
        <v>4.6620000000000003E-3</v>
      </c>
      <c r="H238" t="s">
        <v>250</v>
      </c>
      <c r="J238">
        <f t="shared" si="3"/>
        <v>4.7000000000000002E-3</v>
      </c>
    </row>
    <row r="239" spans="1:10" x14ac:dyDescent="0.3">
      <c r="A239">
        <v>270</v>
      </c>
      <c r="B239">
        <v>19.860852000000001</v>
      </c>
      <c r="C239" t="s">
        <v>8</v>
      </c>
      <c r="D239" t="s">
        <v>9</v>
      </c>
      <c r="E239" t="s">
        <v>14</v>
      </c>
      <c r="F239">
        <v>58</v>
      </c>
      <c r="G239">
        <v>5.6300000000000002E-4</v>
      </c>
      <c r="H239" t="s">
        <v>251</v>
      </c>
      <c r="J239">
        <f t="shared" si="3"/>
        <v>6.0000000000000006E-4</v>
      </c>
    </row>
    <row r="240" spans="1:10" x14ac:dyDescent="0.3">
      <c r="A240">
        <v>271</v>
      </c>
      <c r="B240">
        <v>19.861464999999999</v>
      </c>
      <c r="C240" t="s">
        <v>9</v>
      </c>
      <c r="D240" t="s">
        <v>8</v>
      </c>
      <c r="E240" t="s">
        <v>14</v>
      </c>
      <c r="F240">
        <v>73</v>
      </c>
      <c r="G240">
        <v>6.1300000000000005E-4</v>
      </c>
      <c r="H240" t="s">
        <v>252</v>
      </c>
      <c r="J240">
        <f t="shared" si="3"/>
        <v>6.9999999999999999E-4</v>
      </c>
    </row>
    <row r="241" spans="1:10" x14ac:dyDescent="0.3">
      <c r="A241">
        <v>272</v>
      </c>
      <c r="B241">
        <v>19.861910999999999</v>
      </c>
      <c r="C241" t="s">
        <v>8</v>
      </c>
      <c r="D241" t="s">
        <v>9</v>
      </c>
      <c r="E241" t="s">
        <v>14</v>
      </c>
      <c r="F241">
        <v>58</v>
      </c>
      <c r="G241">
        <v>4.46E-4</v>
      </c>
      <c r="H241" t="s">
        <v>253</v>
      </c>
      <c r="J241">
        <f t="shared" si="3"/>
        <v>5.0000000000000001E-4</v>
      </c>
    </row>
    <row r="242" spans="1:10" x14ac:dyDescent="0.3">
      <c r="A242">
        <v>273</v>
      </c>
      <c r="B242">
        <v>19.863126999999999</v>
      </c>
      <c r="C242" t="s">
        <v>9</v>
      </c>
      <c r="D242" t="s">
        <v>8</v>
      </c>
      <c r="E242" t="s">
        <v>14</v>
      </c>
      <c r="F242">
        <v>60</v>
      </c>
      <c r="G242">
        <v>1.2160000000000001E-3</v>
      </c>
      <c r="H242" t="s">
        <v>254</v>
      </c>
      <c r="J242">
        <f t="shared" si="3"/>
        <v>1.2999999999999999E-3</v>
      </c>
    </row>
    <row r="243" spans="1:10" x14ac:dyDescent="0.3">
      <c r="A243">
        <v>274</v>
      </c>
      <c r="B243">
        <v>19.863938999999998</v>
      </c>
      <c r="C243" t="s">
        <v>9</v>
      </c>
      <c r="D243" t="s">
        <v>8</v>
      </c>
      <c r="E243" t="s">
        <v>14</v>
      </c>
      <c r="F243">
        <v>60</v>
      </c>
      <c r="G243">
        <v>8.12E-4</v>
      </c>
      <c r="H243" t="s">
        <v>255</v>
      </c>
      <c r="J243">
        <f t="shared" si="3"/>
        <v>9.0000000000000008E-4</v>
      </c>
    </row>
    <row r="244" spans="1:10" x14ac:dyDescent="0.3">
      <c r="A244">
        <v>275</v>
      </c>
      <c r="B244">
        <v>19.863961</v>
      </c>
      <c r="C244" t="s">
        <v>8</v>
      </c>
      <c r="D244" t="s">
        <v>9</v>
      </c>
      <c r="E244" t="s">
        <v>10</v>
      </c>
      <c r="F244">
        <v>54</v>
      </c>
      <c r="G244">
        <v>2.1999999999999999E-5</v>
      </c>
      <c r="H244" t="s">
        <v>256</v>
      </c>
      <c r="J244">
        <f t="shared" si="3"/>
        <v>1E-4</v>
      </c>
    </row>
    <row r="245" spans="1:10" x14ac:dyDescent="0.3">
      <c r="A245">
        <v>276</v>
      </c>
      <c r="B245">
        <v>19.871839000000001</v>
      </c>
      <c r="C245" t="s">
        <v>8</v>
      </c>
      <c r="D245" t="s">
        <v>9</v>
      </c>
      <c r="E245" t="s">
        <v>14</v>
      </c>
      <c r="F245">
        <v>58</v>
      </c>
      <c r="G245">
        <v>7.8779999999999996E-3</v>
      </c>
      <c r="H245" t="s">
        <v>257</v>
      </c>
      <c r="J245">
        <f t="shared" si="3"/>
        <v>7.899999999999999E-3</v>
      </c>
    </row>
    <row r="246" spans="1:10" x14ac:dyDescent="0.3">
      <c r="A246">
        <v>277</v>
      </c>
      <c r="B246">
        <v>19.916062</v>
      </c>
      <c r="C246" t="s">
        <v>9</v>
      </c>
      <c r="D246" t="s">
        <v>8</v>
      </c>
      <c r="E246" t="s">
        <v>10</v>
      </c>
      <c r="F246">
        <v>60</v>
      </c>
      <c r="G246">
        <v>4.4222999999999998E-2</v>
      </c>
      <c r="H246" t="s">
        <v>258</v>
      </c>
      <c r="J246">
        <f t="shared" si="3"/>
        <v>4.4300000000000006E-2</v>
      </c>
    </row>
    <row r="247" spans="1:10" x14ac:dyDescent="0.3">
      <c r="A247">
        <v>278</v>
      </c>
      <c r="B247">
        <v>19.955522999999999</v>
      </c>
      <c r="C247" t="s">
        <v>8</v>
      </c>
      <c r="D247" t="s">
        <v>51</v>
      </c>
      <c r="E247" t="s">
        <v>10</v>
      </c>
      <c r="F247">
        <v>66</v>
      </c>
      <c r="G247">
        <v>3.9461000000000003E-2</v>
      </c>
      <c r="H247" t="s">
        <v>59</v>
      </c>
      <c r="J247">
        <f t="shared" si="3"/>
        <v>3.95E-2</v>
      </c>
    </row>
    <row r="248" spans="1:10" x14ac:dyDescent="0.3">
      <c r="A248">
        <v>280</v>
      </c>
      <c r="B248">
        <v>20.345357</v>
      </c>
      <c r="C248" t="s">
        <v>8</v>
      </c>
      <c r="D248" t="s">
        <v>245</v>
      </c>
      <c r="E248" t="s">
        <v>10</v>
      </c>
      <c r="F248">
        <v>66</v>
      </c>
      <c r="G248">
        <v>0.38983400000000001</v>
      </c>
      <c r="H248" t="s">
        <v>259</v>
      </c>
      <c r="J248">
        <f t="shared" si="3"/>
        <v>0.38989999999999997</v>
      </c>
    </row>
    <row r="249" spans="1:10" x14ac:dyDescent="0.3">
      <c r="A249">
        <v>281</v>
      </c>
      <c r="B249">
        <v>20.345365000000001</v>
      </c>
      <c r="C249" t="s">
        <v>8</v>
      </c>
      <c r="D249" t="s">
        <v>243</v>
      </c>
      <c r="E249" t="s">
        <v>10</v>
      </c>
      <c r="F249">
        <v>66</v>
      </c>
      <c r="G249">
        <v>7.9999999999999996E-6</v>
      </c>
      <c r="H249" t="s">
        <v>260</v>
      </c>
      <c r="J249">
        <f t="shared" si="3"/>
        <v>1E-4</v>
      </c>
    </row>
    <row r="250" spans="1:10" x14ac:dyDescent="0.3">
      <c r="A250">
        <v>282</v>
      </c>
      <c r="B250">
        <v>20.361059999999998</v>
      </c>
      <c r="C250" t="s">
        <v>8</v>
      </c>
      <c r="D250" t="s">
        <v>261</v>
      </c>
      <c r="E250" t="s">
        <v>10</v>
      </c>
      <c r="F250">
        <v>66</v>
      </c>
      <c r="G250">
        <v>1.5695000000000001E-2</v>
      </c>
      <c r="H250" t="s">
        <v>262</v>
      </c>
      <c r="J250">
        <f t="shared" si="3"/>
        <v>1.5699999999999999E-2</v>
      </c>
    </row>
    <row r="251" spans="1:10" x14ac:dyDescent="0.3">
      <c r="A251">
        <v>283</v>
      </c>
      <c r="B251">
        <v>20.401910999999998</v>
      </c>
      <c r="C251" t="s">
        <v>9</v>
      </c>
      <c r="D251" t="s">
        <v>8</v>
      </c>
      <c r="E251" t="s">
        <v>14</v>
      </c>
      <c r="F251">
        <v>73</v>
      </c>
      <c r="G251">
        <v>4.0850999999999998E-2</v>
      </c>
      <c r="H251" t="s">
        <v>263</v>
      </c>
      <c r="J251">
        <f t="shared" si="3"/>
        <v>4.0900000000000006E-2</v>
      </c>
    </row>
    <row r="252" spans="1:10" x14ac:dyDescent="0.3">
      <c r="A252">
        <v>284</v>
      </c>
      <c r="B252">
        <v>20.402698000000001</v>
      </c>
      <c r="C252" t="s">
        <v>8</v>
      </c>
      <c r="D252" t="s">
        <v>9</v>
      </c>
      <c r="E252" t="s">
        <v>14</v>
      </c>
      <c r="F252">
        <v>58</v>
      </c>
      <c r="G252">
        <v>7.8700000000000005E-4</v>
      </c>
      <c r="H252" t="s">
        <v>264</v>
      </c>
      <c r="J252">
        <f t="shared" si="3"/>
        <v>8.0000000000000004E-4</v>
      </c>
    </row>
    <row r="253" spans="1:10" x14ac:dyDescent="0.3">
      <c r="A253">
        <v>285</v>
      </c>
      <c r="B253">
        <v>20.402982000000002</v>
      </c>
      <c r="C253" t="s">
        <v>9</v>
      </c>
      <c r="D253" t="s">
        <v>8</v>
      </c>
      <c r="E253" t="s">
        <v>10</v>
      </c>
      <c r="F253">
        <v>60</v>
      </c>
      <c r="G253">
        <v>2.8400000000000002E-4</v>
      </c>
      <c r="H253" t="s">
        <v>265</v>
      </c>
      <c r="J253">
        <f t="shared" si="3"/>
        <v>3.0000000000000003E-4</v>
      </c>
    </row>
    <row r="254" spans="1:10" x14ac:dyDescent="0.3">
      <c r="A254">
        <v>286</v>
      </c>
      <c r="B254">
        <v>20.403798999999999</v>
      </c>
      <c r="C254" t="s">
        <v>9</v>
      </c>
      <c r="D254" t="s">
        <v>8</v>
      </c>
      <c r="E254" t="s">
        <v>14</v>
      </c>
      <c r="F254">
        <v>60</v>
      </c>
      <c r="G254">
        <v>8.1700000000000002E-4</v>
      </c>
      <c r="H254" t="s">
        <v>266</v>
      </c>
      <c r="J254">
        <f t="shared" si="3"/>
        <v>9.0000000000000008E-4</v>
      </c>
    </row>
    <row r="255" spans="1:10" x14ac:dyDescent="0.3">
      <c r="A255">
        <v>287</v>
      </c>
      <c r="B255">
        <v>20.405054</v>
      </c>
      <c r="C255" t="s">
        <v>8</v>
      </c>
      <c r="D255" t="s">
        <v>9</v>
      </c>
      <c r="E255" t="s">
        <v>14</v>
      </c>
      <c r="F255">
        <v>58</v>
      </c>
      <c r="G255">
        <v>1.255E-3</v>
      </c>
      <c r="H255" t="s">
        <v>267</v>
      </c>
      <c r="J255">
        <f t="shared" si="3"/>
        <v>1.2999999999999999E-3</v>
      </c>
    </row>
    <row r="256" spans="1:10" x14ac:dyDescent="0.3">
      <c r="A256">
        <v>288</v>
      </c>
      <c r="B256">
        <v>20.447994000000001</v>
      </c>
      <c r="C256" t="s">
        <v>9</v>
      </c>
      <c r="D256" t="s">
        <v>8</v>
      </c>
      <c r="E256" t="s">
        <v>10</v>
      </c>
      <c r="F256">
        <v>60</v>
      </c>
      <c r="G256">
        <v>4.2939999999999999E-2</v>
      </c>
      <c r="H256" t="s">
        <v>268</v>
      </c>
      <c r="J256">
        <f t="shared" si="3"/>
        <v>4.3000000000000003E-2</v>
      </c>
    </row>
    <row r="257" spans="1:10" x14ac:dyDescent="0.3">
      <c r="A257">
        <v>289</v>
      </c>
      <c r="B257">
        <v>20.925189</v>
      </c>
      <c r="C257" t="s">
        <v>8</v>
      </c>
      <c r="D257" t="s">
        <v>9</v>
      </c>
      <c r="E257" t="s">
        <v>14</v>
      </c>
      <c r="F257">
        <v>73</v>
      </c>
      <c r="G257">
        <v>0.47719499999999998</v>
      </c>
      <c r="H257" t="s">
        <v>269</v>
      </c>
      <c r="J257">
        <f t="shared" si="3"/>
        <v>0.47720000000000001</v>
      </c>
    </row>
    <row r="258" spans="1:10" x14ac:dyDescent="0.3">
      <c r="A258">
        <v>290</v>
      </c>
      <c r="B258">
        <v>20.925856</v>
      </c>
      <c r="C258" t="s">
        <v>9</v>
      </c>
      <c r="D258" t="s">
        <v>8</v>
      </c>
      <c r="E258" t="s">
        <v>10</v>
      </c>
      <c r="F258">
        <v>60</v>
      </c>
      <c r="G258">
        <v>6.6699999999999995E-4</v>
      </c>
      <c r="H258" t="s">
        <v>270</v>
      </c>
      <c r="J258">
        <f t="shared" si="3"/>
        <v>6.9999999999999999E-4</v>
      </c>
    </row>
    <row r="259" spans="1:10" x14ac:dyDescent="0.3">
      <c r="A259">
        <v>291</v>
      </c>
      <c r="B259">
        <v>20.930976000000001</v>
      </c>
      <c r="C259" t="s">
        <v>9</v>
      </c>
      <c r="D259" t="s">
        <v>8</v>
      </c>
      <c r="E259" t="s">
        <v>14</v>
      </c>
      <c r="F259">
        <v>60</v>
      </c>
      <c r="G259">
        <v>5.1200000000000004E-3</v>
      </c>
      <c r="H259" t="s">
        <v>271</v>
      </c>
      <c r="J259">
        <f t="shared" si="3"/>
        <v>5.2000000000000006E-3</v>
      </c>
    </row>
    <row r="260" spans="1:10" x14ac:dyDescent="0.3">
      <c r="A260">
        <v>292</v>
      </c>
      <c r="B260">
        <v>20.931084999999999</v>
      </c>
      <c r="C260" t="s">
        <v>9</v>
      </c>
      <c r="D260" t="s">
        <v>8</v>
      </c>
      <c r="E260" t="s">
        <v>14</v>
      </c>
      <c r="F260">
        <v>73</v>
      </c>
      <c r="G260">
        <v>1.0900000000000001E-4</v>
      </c>
      <c r="H260" t="s">
        <v>272</v>
      </c>
      <c r="J260">
        <f t="shared" ref="J260:J323" si="4">ROUNDUP(G260,4)</f>
        <v>2.0000000000000001E-4</v>
      </c>
    </row>
    <row r="261" spans="1:10" x14ac:dyDescent="0.3">
      <c r="A261">
        <v>293</v>
      </c>
      <c r="B261">
        <v>20.931114000000001</v>
      </c>
      <c r="C261" t="s">
        <v>8</v>
      </c>
      <c r="D261" t="s">
        <v>9</v>
      </c>
      <c r="E261" t="s">
        <v>10</v>
      </c>
      <c r="F261">
        <v>54</v>
      </c>
      <c r="G261">
        <v>2.9E-5</v>
      </c>
      <c r="H261" t="s">
        <v>273</v>
      </c>
      <c r="J261">
        <f t="shared" si="4"/>
        <v>1E-4</v>
      </c>
    </row>
    <row r="262" spans="1:10" x14ac:dyDescent="0.3">
      <c r="A262">
        <v>294</v>
      </c>
      <c r="B262">
        <v>20.932113999999999</v>
      </c>
      <c r="C262" t="s">
        <v>8</v>
      </c>
      <c r="D262" t="s">
        <v>9</v>
      </c>
      <c r="E262" t="s">
        <v>14</v>
      </c>
      <c r="F262">
        <v>58</v>
      </c>
      <c r="G262">
        <v>1E-3</v>
      </c>
      <c r="H262" t="s">
        <v>274</v>
      </c>
      <c r="J262">
        <f t="shared" si="4"/>
        <v>1E-3</v>
      </c>
    </row>
    <row r="263" spans="1:10" x14ac:dyDescent="0.3">
      <c r="A263">
        <v>295</v>
      </c>
      <c r="B263">
        <v>20.933579000000002</v>
      </c>
      <c r="C263" t="s">
        <v>9</v>
      </c>
      <c r="D263" t="s">
        <v>8</v>
      </c>
      <c r="E263" t="s">
        <v>14</v>
      </c>
      <c r="F263">
        <v>60</v>
      </c>
      <c r="G263">
        <v>1.4649999999999999E-3</v>
      </c>
      <c r="H263" t="s">
        <v>275</v>
      </c>
      <c r="J263">
        <f t="shared" si="4"/>
        <v>1.5E-3</v>
      </c>
    </row>
    <row r="264" spans="1:10" x14ac:dyDescent="0.3">
      <c r="A264">
        <v>296</v>
      </c>
      <c r="B264">
        <v>20.933613999999999</v>
      </c>
      <c r="C264" t="s">
        <v>8</v>
      </c>
      <c r="D264" t="s">
        <v>9</v>
      </c>
      <c r="E264" t="s">
        <v>14</v>
      </c>
      <c r="F264">
        <v>58</v>
      </c>
      <c r="G264">
        <v>3.4999999999999997E-5</v>
      </c>
      <c r="H264" t="s">
        <v>276</v>
      </c>
      <c r="J264">
        <f t="shared" si="4"/>
        <v>1E-4</v>
      </c>
    </row>
    <row r="265" spans="1:10" x14ac:dyDescent="0.3">
      <c r="A265">
        <v>297</v>
      </c>
      <c r="B265">
        <v>20.934702000000001</v>
      </c>
      <c r="C265" t="s">
        <v>9</v>
      </c>
      <c r="D265" t="s">
        <v>8</v>
      </c>
      <c r="E265" t="s">
        <v>14</v>
      </c>
      <c r="F265">
        <v>60</v>
      </c>
      <c r="G265">
        <v>1.088E-3</v>
      </c>
      <c r="H265" t="s">
        <v>277</v>
      </c>
      <c r="J265">
        <f t="shared" si="4"/>
        <v>1.1000000000000001E-3</v>
      </c>
    </row>
    <row r="266" spans="1:10" x14ac:dyDescent="0.3">
      <c r="A266">
        <v>298</v>
      </c>
      <c r="B266">
        <v>20.947203999999999</v>
      </c>
      <c r="C266" t="s">
        <v>8</v>
      </c>
      <c r="D266" t="s">
        <v>9</v>
      </c>
      <c r="E266" t="s">
        <v>14</v>
      </c>
      <c r="F266">
        <v>58</v>
      </c>
      <c r="G266">
        <v>1.2501999999999999E-2</v>
      </c>
      <c r="H266" t="s">
        <v>278</v>
      </c>
      <c r="J266">
        <f t="shared" si="4"/>
        <v>1.26E-2</v>
      </c>
    </row>
    <row r="267" spans="1:10" x14ac:dyDescent="0.3">
      <c r="A267">
        <v>299</v>
      </c>
      <c r="B267">
        <v>20.988005000000001</v>
      </c>
      <c r="C267" t="s">
        <v>9</v>
      </c>
      <c r="D267" t="s">
        <v>8</v>
      </c>
      <c r="E267" t="s">
        <v>10</v>
      </c>
      <c r="F267">
        <v>60</v>
      </c>
      <c r="G267">
        <v>4.0800999999999997E-2</v>
      </c>
      <c r="H267" t="s">
        <v>279</v>
      </c>
      <c r="J267">
        <f t="shared" si="4"/>
        <v>4.0900000000000006E-2</v>
      </c>
    </row>
    <row r="268" spans="1:10" x14ac:dyDescent="0.3">
      <c r="A268">
        <v>300</v>
      </c>
      <c r="B268">
        <v>21.371835000000001</v>
      </c>
      <c r="C268" t="s">
        <v>8</v>
      </c>
      <c r="D268" t="s">
        <v>261</v>
      </c>
      <c r="E268" t="s">
        <v>10</v>
      </c>
      <c r="F268">
        <v>66</v>
      </c>
      <c r="G268">
        <v>0.38383</v>
      </c>
      <c r="H268" t="s">
        <v>280</v>
      </c>
      <c r="J268">
        <f t="shared" si="4"/>
        <v>0.38389999999999996</v>
      </c>
    </row>
    <row r="269" spans="1:10" x14ac:dyDescent="0.3">
      <c r="A269">
        <v>302</v>
      </c>
      <c r="B269">
        <v>21.465029000000001</v>
      </c>
      <c r="C269" t="s">
        <v>9</v>
      </c>
      <c r="D269" t="s">
        <v>8</v>
      </c>
      <c r="E269" t="s">
        <v>14</v>
      </c>
      <c r="F269">
        <v>73</v>
      </c>
      <c r="G269">
        <v>9.3193999999999999E-2</v>
      </c>
      <c r="H269" t="s">
        <v>281</v>
      </c>
      <c r="J269">
        <f t="shared" si="4"/>
        <v>9.3200000000000005E-2</v>
      </c>
    </row>
    <row r="270" spans="1:10" x14ac:dyDescent="0.3">
      <c r="A270">
        <v>303</v>
      </c>
      <c r="B270">
        <v>21.465774</v>
      </c>
      <c r="C270" t="s">
        <v>8</v>
      </c>
      <c r="D270" t="s">
        <v>9</v>
      </c>
      <c r="E270" t="s">
        <v>14</v>
      </c>
      <c r="F270">
        <v>58</v>
      </c>
      <c r="G270">
        <v>7.45E-4</v>
      </c>
      <c r="H270" t="s">
        <v>282</v>
      </c>
      <c r="J270">
        <f t="shared" si="4"/>
        <v>8.0000000000000004E-4</v>
      </c>
    </row>
    <row r="271" spans="1:10" x14ac:dyDescent="0.3">
      <c r="A271">
        <v>304</v>
      </c>
      <c r="B271">
        <v>21.466061</v>
      </c>
      <c r="C271" t="s">
        <v>9</v>
      </c>
      <c r="D271" t="s">
        <v>8</v>
      </c>
      <c r="E271" t="s">
        <v>10</v>
      </c>
      <c r="F271">
        <v>60</v>
      </c>
      <c r="G271">
        <v>2.8699999999999998E-4</v>
      </c>
      <c r="H271" t="s">
        <v>283</v>
      </c>
      <c r="J271">
        <f t="shared" si="4"/>
        <v>3.0000000000000003E-4</v>
      </c>
    </row>
    <row r="272" spans="1:10" x14ac:dyDescent="0.3">
      <c r="A272">
        <v>305</v>
      </c>
      <c r="B272">
        <v>21.467549000000002</v>
      </c>
      <c r="C272" t="s">
        <v>9</v>
      </c>
      <c r="D272" t="s">
        <v>8</v>
      </c>
      <c r="E272" t="s">
        <v>14</v>
      </c>
      <c r="F272">
        <v>60</v>
      </c>
      <c r="G272">
        <v>1.488E-3</v>
      </c>
      <c r="H272" t="s">
        <v>284</v>
      </c>
      <c r="J272">
        <f t="shared" si="4"/>
        <v>1.5E-3</v>
      </c>
    </row>
    <row r="273" spans="1:10" x14ac:dyDescent="0.3">
      <c r="A273">
        <v>306</v>
      </c>
      <c r="B273">
        <v>21.468885</v>
      </c>
      <c r="C273" t="s">
        <v>8</v>
      </c>
      <c r="D273" t="s">
        <v>9</v>
      </c>
      <c r="E273" t="s">
        <v>14</v>
      </c>
      <c r="F273">
        <v>58</v>
      </c>
      <c r="G273">
        <v>1.3359999999999999E-3</v>
      </c>
      <c r="H273" t="s">
        <v>285</v>
      </c>
      <c r="J273">
        <f t="shared" si="4"/>
        <v>1.4E-3</v>
      </c>
    </row>
    <row r="274" spans="1:10" x14ac:dyDescent="0.3">
      <c r="A274">
        <v>307</v>
      </c>
      <c r="B274">
        <v>21.512029999999999</v>
      </c>
      <c r="C274" t="s">
        <v>9</v>
      </c>
      <c r="D274" t="s">
        <v>8</v>
      </c>
      <c r="E274" t="s">
        <v>10</v>
      </c>
      <c r="F274">
        <v>60</v>
      </c>
      <c r="G274">
        <v>4.3145000000000003E-2</v>
      </c>
      <c r="H274" t="s">
        <v>286</v>
      </c>
      <c r="J274">
        <f t="shared" si="4"/>
        <v>4.3200000000000002E-2</v>
      </c>
    </row>
    <row r="275" spans="1:10" x14ac:dyDescent="0.3">
      <c r="A275">
        <v>309</v>
      </c>
      <c r="B275">
        <v>21.970428999999999</v>
      </c>
      <c r="C275" t="s">
        <v>8</v>
      </c>
      <c r="D275" t="s">
        <v>9</v>
      </c>
      <c r="E275" t="s">
        <v>14</v>
      </c>
      <c r="F275">
        <v>73</v>
      </c>
      <c r="G275">
        <v>0.458399</v>
      </c>
      <c r="H275" t="s">
        <v>287</v>
      </c>
      <c r="J275">
        <f t="shared" si="4"/>
        <v>0.45839999999999997</v>
      </c>
    </row>
    <row r="276" spans="1:10" x14ac:dyDescent="0.3">
      <c r="A276">
        <v>310</v>
      </c>
      <c r="B276">
        <v>21.971052</v>
      </c>
      <c r="C276" t="s">
        <v>9</v>
      </c>
      <c r="D276" t="s">
        <v>8</v>
      </c>
      <c r="E276" t="s">
        <v>10</v>
      </c>
      <c r="F276">
        <v>60</v>
      </c>
      <c r="G276">
        <v>6.2299999999999996E-4</v>
      </c>
      <c r="H276" t="s">
        <v>288</v>
      </c>
      <c r="J276">
        <f t="shared" si="4"/>
        <v>6.9999999999999999E-4</v>
      </c>
    </row>
    <row r="277" spans="1:10" x14ac:dyDescent="0.3">
      <c r="A277">
        <v>311</v>
      </c>
      <c r="B277">
        <v>21.974623999999999</v>
      </c>
      <c r="C277" t="s">
        <v>9</v>
      </c>
      <c r="D277" t="s">
        <v>8</v>
      </c>
      <c r="E277" t="s">
        <v>14</v>
      </c>
      <c r="F277">
        <v>60</v>
      </c>
      <c r="G277">
        <v>3.5720000000000001E-3</v>
      </c>
      <c r="H277" t="s">
        <v>289</v>
      </c>
      <c r="J277">
        <f t="shared" si="4"/>
        <v>3.5999999999999999E-3</v>
      </c>
    </row>
    <row r="278" spans="1:10" x14ac:dyDescent="0.3">
      <c r="A278">
        <v>312</v>
      </c>
      <c r="B278">
        <v>21.975209</v>
      </c>
      <c r="C278" t="s">
        <v>8</v>
      </c>
      <c r="D278" t="s">
        <v>9</v>
      </c>
      <c r="E278" t="s">
        <v>14</v>
      </c>
      <c r="F278">
        <v>58</v>
      </c>
      <c r="G278">
        <v>5.8500000000000002E-4</v>
      </c>
      <c r="H278" t="s">
        <v>290</v>
      </c>
      <c r="J278">
        <f t="shared" si="4"/>
        <v>6.0000000000000006E-4</v>
      </c>
    </row>
    <row r="279" spans="1:10" x14ac:dyDescent="0.3">
      <c r="A279">
        <v>313</v>
      </c>
      <c r="B279">
        <v>21.975566000000001</v>
      </c>
      <c r="C279" t="s">
        <v>9</v>
      </c>
      <c r="D279" t="s">
        <v>8</v>
      </c>
      <c r="E279" t="s">
        <v>14</v>
      </c>
      <c r="F279">
        <v>73</v>
      </c>
      <c r="G279">
        <v>3.57E-4</v>
      </c>
      <c r="H279" t="s">
        <v>291</v>
      </c>
      <c r="J279">
        <f t="shared" si="4"/>
        <v>3.9999999999999996E-4</v>
      </c>
    </row>
    <row r="280" spans="1:10" x14ac:dyDescent="0.3">
      <c r="A280">
        <v>314</v>
      </c>
      <c r="B280">
        <v>21.975971999999999</v>
      </c>
      <c r="C280" t="s">
        <v>8</v>
      </c>
      <c r="D280" t="s">
        <v>9</v>
      </c>
      <c r="E280" t="s">
        <v>14</v>
      </c>
      <c r="F280">
        <v>58</v>
      </c>
      <c r="G280">
        <v>4.06E-4</v>
      </c>
      <c r="H280" t="s">
        <v>292</v>
      </c>
      <c r="J280">
        <f t="shared" si="4"/>
        <v>5.0000000000000001E-4</v>
      </c>
    </row>
    <row r="281" spans="1:10" x14ac:dyDescent="0.3">
      <c r="A281">
        <v>315</v>
      </c>
      <c r="B281">
        <v>21.977900000000002</v>
      </c>
      <c r="C281" t="s">
        <v>9</v>
      </c>
      <c r="D281" t="s">
        <v>8</v>
      </c>
      <c r="E281" t="s">
        <v>14</v>
      </c>
      <c r="F281">
        <v>60</v>
      </c>
      <c r="G281">
        <v>1.928E-3</v>
      </c>
      <c r="H281" t="s">
        <v>293</v>
      </c>
      <c r="J281">
        <f t="shared" si="4"/>
        <v>2E-3</v>
      </c>
    </row>
    <row r="282" spans="1:10" x14ac:dyDescent="0.3">
      <c r="A282">
        <v>316</v>
      </c>
      <c r="B282">
        <v>21.978625000000001</v>
      </c>
      <c r="C282" t="s">
        <v>9</v>
      </c>
      <c r="D282" t="s">
        <v>8</v>
      </c>
      <c r="E282" t="s">
        <v>14</v>
      </c>
      <c r="F282">
        <v>60</v>
      </c>
      <c r="G282">
        <v>7.2499999999999995E-4</v>
      </c>
      <c r="H282" t="s">
        <v>294</v>
      </c>
      <c r="J282">
        <f t="shared" si="4"/>
        <v>8.0000000000000004E-4</v>
      </c>
    </row>
    <row r="283" spans="1:10" x14ac:dyDescent="0.3">
      <c r="A283">
        <v>317</v>
      </c>
      <c r="B283">
        <v>21.978646999999999</v>
      </c>
      <c r="C283" t="s">
        <v>8</v>
      </c>
      <c r="D283" t="s">
        <v>9</v>
      </c>
      <c r="E283" t="s">
        <v>10</v>
      </c>
      <c r="F283">
        <v>54</v>
      </c>
      <c r="G283">
        <v>2.1999999999999999E-5</v>
      </c>
      <c r="H283" t="s">
        <v>295</v>
      </c>
      <c r="J283">
        <f t="shared" si="4"/>
        <v>1E-4</v>
      </c>
    </row>
    <row r="284" spans="1:10" x14ac:dyDescent="0.3">
      <c r="A284">
        <v>318</v>
      </c>
      <c r="B284">
        <v>21.993812999999999</v>
      </c>
      <c r="C284" t="s">
        <v>8</v>
      </c>
      <c r="D284" t="s">
        <v>9</v>
      </c>
      <c r="E284" t="s">
        <v>14</v>
      </c>
      <c r="F284">
        <v>58</v>
      </c>
      <c r="G284">
        <v>1.5166000000000001E-2</v>
      </c>
      <c r="H284" t="s">
        <v>296</v>
      </c>
      <c r="J284">
        <f t="shared" si="4"/>
        <v>1.52E-2</v>
      </c>
    </row>
    <row r="285" spans="1:10" x14ac:dyDescent="0.3">
      <c r="A285">
        <v>320</v>
      </c>
      <c r="B285">
        <v>22.036076999999999</v>
      </c>
      <c r="C285" t="s">
        <v>9</v>
      </c>
      <c r="D285" t="s">
        <v>8</v>
      </c>
      <c r="E285" t="s">
        <v>10</v>
      </c>
      <c r="F285">
        <v>60</v>
      </c>
      <c r="G285">
        <v>4.2264000000000003E-2</v>
      </c>
      <c r="H285" t="s">
        <v>297</v>
      </c>
      <c r="J285">
        <f t="shared" si="4"/>
        <v>4.2300000000000004E-2</v>
      </c>
    </row>
    <row r="286" spans="1:10" x14ac:dyDescent="0.3">
      <c r="A286">
        <v>321</v>
      </c>
      <c r="B286">
        <v>22.352512000000001</v>
      </c>
      <c r="C286" t="s">
        <v>8</v>
      </c>
      <c r="D286" t="s">
        <v>245</v>
      </c>
      <c r="E286" t="s">
        <v>10</v>
      </c>
      <c r="F286">
        <v>66</v>
      </c>
      <c r="G286">
        <v>0.31643500000000002</v>
      </c>
      <c r="H286" t="s">
        <v>259</v>
      </c>
      <c r="J286">
        <f t="shared" si="4"/>
        <v>0.3165</v>
      </c>
    </row>
    <row r="287" spans="1:10" x14ac:dyDescent="0.3">
      <c r="A287">
        <v>322</v>
      </c>
      <c r="B287">
        <v>22.352512000000001</v>
      </c>
      <c r="C287" t="s">
        <v>8</v>
      </c>
      <c r="D287" t="s">
        <v>243</v>
      </c>
      <c r="E287" t="s">
        <v>10</v>
      </c>
      <c r="F287">
        <v>66</v>
      </c>
      <c r="G287">
        <v>0</v>
      </c>
      <c r="H287" t="s">
        <v>260</v>
      </c>
      <c r="J287">
        <f t="shared" si="4"/>
        <v>0</v>
      </c>
    </row>
    <row r="288" spans="1:10" x14ac:dyDescent="0.3">
      <c r="A288">
        <v>323</v>
      </c>
      <c r="B288">
        <v>22.542801999999998</v>
      </c>
      <c r="C288" t="s">
        <v>9</v>
      </c>
      <c r="D288" t="s">
        <v>8</v>
      </c>
      <c r="E288" t="s">
        <v>14</v>
      </c>
      <c r="F288">
        <v>73</v>
      </c>
      <c r="G288">
        <v>0.19028999999999999</v>
      </c>
      <c r="H288" t="s">
        <v>298</v>
      </c>
      <c r="J288">
        <f t="shared" si="4"/>
        <v>0.1903</v>
      </c>
    </row>
    <row r="289" spans="1:10" x14ac:dyDescent="0.3">
      <c r="A289">
        <v>324</v>
      </c>
      <c r="B289">
        <v>22.543745999999999</v>
      </c>
      <c r="C289" t="s">
        <v>8</v>
      </c>
      <c r="D289" t="s">
        <v>9</v>
      </c>
      <c r="E289" t="s">
        <v>14</v>
      </c>
      <c r="F289">
        <v>58</v>
      </c>
      <c r="G289">
        <v>9.4399999999999996E-4</v>
      </c>
      <c r="H289" t="s">
        <v>299</v>
      </c>
      <c r="J289">
        <f t="shared" si="4"/>
        <v>1E-3</v>
      </c>
    </row>
    <row r="290" spans="1:10" x14ac:dyDescent="0.3">
      <c r="A290">
        <v>325</v>
      </c>
      <c r="B290">
        <v>22.544091000000002</v>
      </c>
      <c r="C290" t="s">
        <v>9</v>
      </c>
      <c r="D290" t="s">
        <v>8</v>
      </c>
      <c r="E290" t="s">
        <v>10</v>
      </c>
      <c r="F290">
        <v>60</v>
      </c>
      <c r="G290">
        <v>3.4499999999999998E-4</v>
      </c>
      <c r="H290" t="s">
        <v>300</v>
      </c>
      <c r="J290">
        <f t="shared" si="4"/>
        <v>3.9999999999999996E-4</v>
      </c>
    </row>
    <row r="291" spans="1:10" x14ac:dyDescent="0.3">
      <c r="A291">
        <v>326</v>
      </c>
      <c r="B291">
        <v>22.547288000000002</v>
      </c>
      <c r="C291" t="s">
        <v>9</v>
      </c>
      <c r="D291" t="s">
        <v>8</v>
      </c>
      <c r="E291" t="s">
        <v>14</v>
      </c>
      <c r="F291">
        <v>60</v>
      </c>
      <c r="G291">
        <v>3.1970000000000002E-3</v>
      </c>
      <c r="H291" t="s">
        <v>301</v>
      </c>
      <c r="J291">
        <f t="shared" si="4"/>
        <v>3.1999999999999997E-3</v>
      </c>
    </row>
    <row r="292" spans="1:10" x14ac:dyDescent="0.3">
      <c r="A292">
        <v>327</v>
      </c>
      <c r="B292">
        <v>22.549194</v>
      </c>
      <c r="C292" t="s">
        <v>8</v>
      </c>
      <c r="D292" t="s">
        <v>9</v>
      </c>
      <c r="E292" t="s">
        <v>14</v>
      </c>
      <c r="F292">
        <v>58</v>
      </c>
      <c r="G292">
        <v>1.9059999999999999E-3</v>
      </c>
      <c r="H292" t="s">
        <v>302</v>
      </c>
      <c r="J292">
        <f t="shared" si="4"/>
        <v>2E-3</v>
      </c>
    </row>
    <row r="293" spans="1:10" x14ac:dyDescent="0.3">
      <c r="A293">
        <v>328</v>
      </c>
      <c r="B293">
        <v>22.592020999999999</v>
      </c>
      <c r="C293" t="s">
        <v>9</v>
      </c>
      <c r="D293" t="s">
        <v>8</v>
      </c>
      <c r="E293" t="s">
        <v>10</v>
      </c>
      <c r="F293">
        <v>60</v>
      </c>
      <c r="G293">
        <v>4.2826999999999997E-2</v>
      </c>
      <c r="H293" t="s">
        <v>303</v>
      </c>
      <c r="J293">
        <f t="shared" si="4"/>
        <v>4.2900000000000001E-2</v>
      </c>
    </row>
    <row r="294" spans="1:10" x14ac:dyDescent="0.3">
      <c r="A294">
        <v>329</v>
      </c>
      <c r="B294">
        <v>23.028379000000001</v>
      </c>
      <c r="C294" t="s">
        <v>8</v>
      </c>
      <c r="D294" t="s">
        <v>9</v>
      </c>
      <c r="E294" t="s">
        <v>14</v>
      </c>
      <c r="F294">
        <v>73</v>
      </c>
      <c r="G294">
        <v>0.43635800000000002</v>
      </c>
      <c r="H294" t="s">
        <v>304</v>
      </c>
      <c r="J294">
        <f t="shared" si="4"/>
        <v>0.43640000000000001</v>
      </c>
    </row>
    <row r="295" spans="1:10" x14ac:dyDescent="0.3">
      <c r="A295">
        <v>330</v>
      </c>
      <c r="B295">
        <v>23.029056000000001</v>
      </c>
      <c r="C295" t="s">
        <v>9</v>
      </c>
      <c r="D295" t="s">
        <v>8</v>
      </c>
      <c r="E295" t="s">
        <v>10</v>
      </c>
      <c r="F295">
        <v>60</v>
      </c>
      <c r="G295">
        <v>6.7699999999999998E-4</v>
      </c>
      <c r="H295" t="s">
        <v>305</v>
      </c>
      <c r="J295">
        <f t="shared" si="4"/>
        <v>6.9999999999999999E-4</v>
      </c>
    </row>
    <row r="296" spans="1:10" x14ac:dyDescent="0.3">
      <c r="A296">
        <v>331</v>
      </c>
      <c r="B296">
        <v>23.033104999999999</v>
      </c>
      <c r="C296" t="s">
        <v>9</v>
      </c>
      <c r="D296" t="s">
        <v>8</v>
      </c>
      <c r="E296" t="s">
        <v>14</v>
      </c>
      <c r="F296">
        <v>60</v>
      </c>
      <c r="G296">
        <v>4.0489999999999996E-3</v>
      </c>
      <c r="H296" t="s">
        <v>306</v>
      </c>
      <c r="J296">
        <f t="shared" si="4"/>
        <v>4.1000000000000003E-3</v>
      </c>
    </row>
    <row r="297" spans="1:10" x14ac:dyDescent="0.3">
      <c r="A297">
        <v>332</v>
      </c>
      <c r="B297">
        <v>23.033664999999999</v>
      </c>
      <c r="C297" t="s">
        <v>8</v>
      </c>
      <c r="D297" t="s">
        <v>9</v>
      </c>
      <c r="E297" t="s">
        <v>14</v>
      </c>
      <c r="F297">
        <v>58</v>
      </c>
      <c r="G297">
        <v>5.5999999999999995E-4</v>
      </c>
      <c r="H297" t="s">
        <v>307</v>
      </c>
      <c r="J297">
        <f t="shared" si="4"/>
        <v>6.0000000000000006E-4</v>
      </c>
    </row>
    <row r="298" spans="1:10" x14ac:dyDescent="0.3">
      <c r="A298">
        <v>333</v>
      </c>
      <c r="B298">
        <v>23.034365000000001</v>
      </c>
      <c r="C298" t="s">
        <v>9</v>
      </c>
      <c r="D298" t="s">
        <v>8</v>
      </c>
      <c r="E298" t="s">
        <v>14</v>
      </c>
      <c r="F298">
        <v>73</v>
      </c>
      <c r="G298">
        <v>6.9999999999999999E-4</v>
      </c>
      <c r="H298" t="s">
        <v>308</v>
      </c>
      <c r="J298">
        <f t="shared" si="4"/>
        <v>6.9999999999999999E-4</v>
      </c>
    </row>
    <row r="299" spans="1:10" x14ac:dyDescent="0.3">
      <c r="A299">
        <v>334</v>
      </c>
      <c r="B299">
        <v>23.03482</v>
      </c>
      <c r="C299" t="s">
        <v>8</v>
      </c>
      <c r="D299" t="s">
        <v>9</v>
      </c>
      <c r="E299" t="s">
        <v>14</v>
      </c>
      <c r="F299">
        <v>58</v>
      </c>
      <c r="G299">
        <v>4.55E-4</v>
      </c>
      <c r="H299" t="s">
        <v>309</v>
      </c>
      <c r="J299">
        <f t="shared" si="4"/>
        <v>5.0000000000000001E-4</v>
      </c>
    </row>
    <row r="300" spans="1:10" x14ac:dyDescent="0.3">
      <c r="A300">
        <v>335</v>
      </c>
      <c r="B300">
        <v>23.035498</v>
      </c>
      <c r="C300" t="s">
        <v>9</v>
      </c>
      <c r="D300" t="s">
        <v>8</v>
      </c>
      <c r="E300" t="s">
        <v>14</v>
      </c>
      <c r="F300">
        <v>60</v>
      </c>
      <c r="G300">
        <v>6.78E-4</v>
      </c>
      <c r="H300" t="s">
        <v>310</v>
      </c>
      <c r="J300">
        <f t="shared" si="4"/>
        <v>6.9999999999999999E-4</v>
      </c>
    </row>
    <row r="301" spans="1:10" x14ac:dyDescent="0.3">
      <c r="A301">
        <v>336</v>
      </c>
      <c r="B301">
        <v>23.036933000000001</v>
      </c>
      <c r="C301" t="s">
        <v>9</v>
      </c>
      <c r="D301" t="s">
        <v>8</v>
      </c>
      <c r="E301" t="s">
        <v>14</v>
      </c>
      <c r="F301">
        <v>60</v>
      </c>
      <c r="G301">
        <v>1.4350000000000001E-3</v>
      </c>
      <c r="H301" t="s">
        <v>311</v>
      </c>
      <c r="J301">
        <f t="shared" si="4"/>
        <v>1.5E-3</v>
      </c>
    </row>
    <row r="302" spans="1:10" x14ac:dyDescent="0.3">
      <c r="A302">
        <v>337</v>
      </c>
      <c r="B302">
        <v>23.036956</v>
      </c>
      <c r="C302" t="s">
        <v>8</v>
      </c>
      <c r="D302" t="s">
        <v>9</v>
      </c>
      <c r="E302" t="s">
        <v>10</v>
      </c>
      <c r="F302">
        <v>54</v>
      </c>
      <c r="G302">
        <v>2.3E-5</v>
      </c>
      <c r="H302" t="s">
        <v>312</v>
      </c>
      <c r="J302">
        <f t="shared" si="4"/>
        <v>1E-4</v>
      </c>
    </row>
    <row r="303" spans="1:10" x14ac:dyDescent="0.3">
      <c r="A303">
        <v>338</v>
      </c>
      <c r="B303">
        <v>23.049527999999999</v>
      </c>
      <c r="C303" t="s">
        <v>8</v>
      </c>
      <c r="D303" t="s">
        <v>9</v>
      </c>
      <c r="E303" t="s">
        <v>14</v>
      </c>
      <c r="F303">
        <v>58</v>
      </c>
      <c r="G303">
        <v>1.2572E-2</v>
      </c>
      <c r="H303" t="s">
        <v>313</v>
      </c>
      <c r="J303">
        <f t="shared" si="4"/>
        <v>1.26E-2</v>
      </c>
    </row>
    <row r="304" spans="1:10" x14ac:dyDescent="0.3">
      <c r="A304">
        <v>339</v>
      </c>
      <c r="B304">
        <v>23.092006999999999</v>
      </c>
      <c r="C304" t="s">
        <v>9</v>
      </c>
      <c r="D304" t="s">
        <v>8</v>
      </c>
      <c r="E304" t="s">
        <v>10</v>
      </c>
      <c r="F304">
        <v>60</v>
      </c>
      <c r="G304">
        <v>4.2479000000000003E-2</v>
      </c>
      <c r="H304" t="s">
        <v>314</v>
      </c>
      <c r="J304">
        <f t="shared" si="4"/>
        <v>4.2500000000000003E-2</v>
      </c>
    </row>
    <row r="305" spans="1:10" x14ac:dyDescent="0.3">
      <c r="A305">
        <v>341</v>
      </c>
      <c r="B305">
        <v>23.380575</v>
      </c>
      <c r="C305" t="s">
        <v>8</v>
      </c>
      <c r="D305" t="s">
        <v>261</v>
      </c>
      <c r="E305" t="s">
        <v>10</v>
      </c>
      <c r="F305">
        <v>66</v>
      </c>
      <c r="G305">
        <v>0.28856799999999999</v>
      </c>
      <c r="H305" t="s">
        <v>280</v>
      </c>
      <c r="J305">
        <f t="shared" si="4"/>
        <v>0.28859999999999997</v>
      </c>
    </row>
    <row r="306" spans="1:10" x14ac:dyDescent="0.3">
      <c r="A306">
        <v>343</v>
      </c>
      <c r="B306">
        <v>23.617737999999999</v>
      </c>
      <c r="C306" t="s">
        <v>9</v>
      </c>
      <c r="D306" t="s">
        <v>8</v>
      </c>
      <c r="E306" t="s">
        <v>14</v>
      </c>
      <c r="F306">
        <v>73</v>
      </c>
      <c r="G306">
        <v>0.23716300000000001</v>
      </c>
      <c r="H306" t="s">
        <v>315</v>
      </c>
      <c r="J306">
        <f t="shared" si="4"/>
        <v>0.23719999999999999</v>
      </c>
    </row>
    <row r="307" spans="1:10" x14ac:dyDescent="0.3">
      <c r="A307">
        <v>344</v>
      </c>
      <c r="B307">
        <v>23.619070000000001</v>
      </c>
      <c r="C307" t="s">
        <v>8</v>
      </c>
      <c r="D307" t="s">
        <v>9</v>
      </c>
      <c r="E307" t="s">
        <v>14</v>
      </c>
      <c r="F307">
        <v>58</v>
      </c>
      <c r="G307">
        <v>1.3320000000000001E-3</v>
      </c>
      <c r="H307" t="s">
        <v>316</v>
      </c>
      <c r="J307">
        <f t="shared" si="4"/>
        <v>1.4E-3</v>
      </c>
    </row>
    <row r="308" spans="1:10" x14ac:dyDescent="0.3">
      <c r="A308">
        <v>345</v>
      </c>
      <c r="B308">
        <v>23.619427000000002</v>
      </c>
      <c r="C308" t="s">
        <v>9</v>
      </c>
      <c r="D308" t="s">
        <v>8</v>
      </c>
      <c r="E308" t="s">
        <v>10</v>
      </c>
      <c r="F308">
        <v>60</v>
      </c>
      <c r="G308">
        <v>3.57E-4</v>
      </c>
      <c r="H308" t="s">
        <v>317</v>
      </c>
      <c r="J308">
        <f t="shared" si="4"/>
        <v>3.9999999999999996E-4</v>
      </c>
    </row>
    <row r="309" spans="1:10" x14ac:dyDescent="0.3">
      <c r="A309">
        <v>346</v>
      </c>
      <c r="B309">
        <v>23.620495999999999</v>
      </c>
      <c r="C309" t="s">
        <v>9</v>
      </c>
      <c r="D309" t="s">
        <v>8</v>
      </c>
      <c r="E309" t="s">
        <v>14</v>
      </c>
      <c r="F309">
        <v>60</v>
      </c>
      <c r="G309">
        <v>1.0690000000000001E-3</v>
      </c>
      <c r="H309" t="s">
        <v>318</v>
      </c>
      <c r="J309">
        <f t="shared" si="4"/>
        <v>1.1000000000000001E-3</v>
      </c>
    </row>
    <row r="310" spans="1:10" x14ac:dyDescent="0.3">
      <c r="A310">
        <v>347</v>
      </c>
      <c r="B310">
        <v>23.621663000000002</v>
      </c>
      <c r="C310" t="s">
        <v>8</v>
      </c>
      <c r="D310" t="s">
        <v>9</v>
      </c>
      <c r="E310" t="s">
        <v>14</v>
      </c>
      <c r="F310">
        <v>58</v>
      </c>
      <c r="G310">
        <v>1.1670000000000001E-3</v>
      </c>
      <c r="H310" t="s">
        <v>319</v>
      </c>
      <c r="J310">
        <f t="shared" si="4"/>
        <v>1.2000000000000001E-3</v>
      </c>
    </row>
    <row r="311" spans="1:10" x14ac:dyDescent="0.3">
      <c r="A311">
        <v>348</v>
      </c>
      <c r="B311">
        <v>23.664019</v>
      </c>
      <c r="C311" t="s">
        <v>9</v>
      </c>
      <c r="D311" t="s">
        <v>8</v>
      </c>
      <c r="E311" t="s">
        <v>10</v>
      </c>
      <c r="F311">
        <v>60</v>
      </c>
      <c r="G311">
        <v>4.2355999999999998E-2</v>
      </c>
      <c r="H311" t="s">
        <v>320</v>
      </c>
      <c r="J311">
        <f t="shared" si="4"/>
        <v>4.24E-2</v>
      </c>
    </row>
    <row r="312" spans="1:10" x14ac:dyDescent="0.3">
      <c r="A312">
        <v>350</v>
      </c>
      <c r="B312">
        <v>24.119720999999998</v>
      </c>
      <c r="C312" t="s">
        <v>8</v>
      </c>
      <c r="D312" t="s">
        <v>9</v>
      </c>
      <c r="E312" t="s">
        <v>14</v>
      </c>
      <c r="F312">
        <v>73</v>
      </c>
      <c r="G312">
        <v>0.455702</v>
      </c>
      <c r="H312" t="s">
        <v>321</v>
      </c>
      <c r="J312">
        <f t="shared" si="4"/>
        <v>0.45579999999999998</v>
      </c>
    </row>
    <row r="313" spans="1:10" x14ac:dyDescent="0.3">
      <c r="A313">
        <v>351</v>
      </c>
      <c r="B313">
        <v>24.120372</v>
      </c>
      <c r="C313" t="s">
        <v>9</v>
      </c>
      <c r="D313" t="s">
        <v>8</v>
      </c>
      <c r="E313" t="s">
        <v>10</v>
      </c>
      <c r="F313">
        <v>60</v>
      </c>
      <c r="G313">
        <v>6.5099999999999999E-4</v>
      </c>
      <c r="H313" t="s">
        <v>322</v>
      </c>
      <c r="J313">
        <f t="shared" si="4"/>
        <v>6.9999999999999999E-4</v>
      </c>
    </row>
    <row r="314" spans="1:10" x14ac:dyDescent="0.3">
      <c r="A314">
        <v>352</v>
      </c>
      <c r="B314">
        <v>24.124635999999999</v>
      </c>
      <c r="C314" t="s">
        <v>9</v>
      </c>
      <c r="D314" t="s">
        <v>8</v>
      </c>
      <c r="E314" t="s">
        <v>14</v>
      </c>
      <c r="F314">
        <v>60</v>
      </c>
      <c r="G314">
        <v>4.2640000000000004E-3</v>
      </c>
      <c r="H314" t="s">
        <v>323</v>
      </c>
      <c r="J314">
        <f t="shared" si="4"/>
        <v>4.3E-3</v>
      </c>
    </row>
    <row r="315" spans="1:10" x14ac:dyDescent="0.3">
      <c r="A315">
        <v>353</v>
      </c>
      <c r="B315">
        <v>24.125475999999999</v>
      </c>
      <c r="C315" t="s">
        <v>8</v>
      </c>
      <c r="D315" t="s">
        <v>9</v>
      </c>
      <c r="E315" t="s">
        <v>14</v>
      </c>
      <c r="F315">
        <v>58</v>
      </c>
      <c r="G315">
        <v>8.4000000000000003E-4</v>
      </c>
      <c r="H315" t="s">
        <v>324</v>
      </c>
      <c r="J315">
        <f t="shared" si="4"/>
        <v>9.0000000000000008E-4</v>
      </c>
    </row>
    <row r="316" spans="1:10" x14ac:dyDescent="0.3">
      <c r="A316">
        <v>354</v>
      </c>
      <c r="B316">
        <v>24.126186000000001</v>
      </c>
      <c r="C316" t="s">
        <v>9</v>
      </c>
      <c r="D316" t="s">
        <v>8</v>
      </c>
      <c r="E316" t="s">
        <v>14</v>
      </c>
      <c r="F316">
        <v>73</v>
      </c>
      <c r="G316">
        <v>7.1000000000000002E-4</v>
      </c>
      <c r="H316" t="s">
        <v>325</v>
      </c>
      <c r="J316">
        <f t="shared" si="4"/>
        <v>8.0000000000000004E-4</v>
      </c>
    </row>
    <row r="317" spans="1:10" x14ac:dyDescent="0.3">
      <c r="A317">
        <v>355</v>
      </c>
      <c r="B317">
        <v>24.1264</v>
      </c>
      <c r="C317" t="s">
        <v>9</v>
      </c>
      <c r="D317" t="s">
        <v>8</v>
      </c>
      <c r="E317" t="s">
        <v>14</v>
      </c>
      <c r="F317">
        <v>60</v>
      </c>
      <c r="G317">
        <v>2.14E-4</v>
      </c>
      <c r="H317" t="s">
        <v>326</v>
      </c>
      <c r="J317">
        <f t="shared" si="4"/>
        <v>3.0000000000000003E-4</v>
      </c>
    </row>
    <row r="318" spans="1:10" x14ac:dyDescent="0.3">
      <c r="A318">
        <v>356</v>
      </c>
      <c r="B318">
        <v>24.126422999999999</v>
      </c>
      <c r="C318" t="s">
        <v>8</v>
      </c>
      <c r="D318" t="s">
        <v>9</v>
      </c>
      <c r="E318" t="s">
        <v>10</v>
      </c>
      <c r="F318">
        <v>54</v>
      </c>
      <c r="G318">
        <v>2.3E-5</v>
      </c>
      <c r="H318" t="s">
        <v>327</v>
      </c>
      <c r="J318">
        <f t="shared" si="4"/>
        <v>1E-4</v>
      </c>
    </row>
    <row r="319" spans="1:10" x14ac:dyDescent="0.3">
      <c r="A319">
        <v>357</v>
      </c>
      <c r="B319">
        <v>24.126894</v>
      </c>
      <c r="C319" t="s">
        <v>8</v>
      </c>
      <c r="D319" t="s">
        <v>9</v>
      </c>
      <c r="E319" t="s">
        <v>14</v>
      </c>
      <c r="F319">
        <v>58</v>
      </c>
      <c r="G319">
        <v>4.7100000000000001E-4</v>
      </c>
      <c r="H319" t="s">
        <v>328</v>
      </c>
      <c r="J319">
        <f t="shared" si="4"/>
        <v>5.0000000000000001E-4</v>
      </c>
    </row>
    <row r="320" spans="1:10" x14ac:dyDescent="0.3">
      <c r="A320">
        <v>358</v>
      </c>
      <c r="B320">
        <v>24.127845000000001</v>
      </c>
      <c r="C320" t="s">
        <v>9</v>
      </c>
      <c r="D320" t="s">
        <v>8</v>
      </c>
      <c r="E320" t="s">
        <v>14</v>
      </c>
      <c r="F320">
        <v>60</v>
      </c>
      <c r="G320">
        <v>9.5100000000000002E-4</v>
      </c>
      <c r="H320" t="s">
        <v>329</v>
      </c>
      <c r="J320">
        <f t="shared" si="4"/>
        <v>1E-3</v>
      </c>
    </row>
    <row r="321" spans="1:10" x14ac:dyDescent="0.3">
      <c r="A321">
        <v>359</v>
      </c>
      <c r="B321">
        <v>24.140794</v>
      </c>
      <c r="C321" t="s">
        <v>8</v>
      </c>
      <c r="D321" t="s">
        <v>9</v>
      </c>
      <c r="E321" t="s">
        <v>14</v>
      </c>
      <c r="F321">
        <v>58</v>
      </c>
      <c r="G321">
        <v>1.2949E-2</v>
      </c>
      <c r="H321" t="s">
        <v>330</v>
      </c>
      <c r="J321">
        <f t="shared" si="4"/>
        <v>1.2999999999999999E-2</v>
      </c>
    </row>
    <row r="322" spans="1:10" x14ac:dyDescent="0.3">
      <c r="A322">
        <v>360</v>
      </c>
      <c r="B322">
        <v>24.184007000000001</v>
      </c>
      <c r="C322" t="s">
        <v>9</v>
      </c>
      <c r="D322" t="s">
        <v>8</v>
      </c>
      <c r="E322" t="s">
        <v>10</v>
      </c>
      <c r="F322">
        <v>60</v>
      </c>
      <c r="G322">
        <v>4.3213000000000001E-2</v>
      </c>
      <c r="H322" t="s">
        <v>331</v>
      </c>
      <c r="J322">
        <f t="shared" si="4"/>
        <v>4.3300000000000005E-2</v>
      </c>
    </row>
    <row r="323" spans="1:10" x14ac:dyDescent="0.3">
      <c r="A323">
        <v>361</v>
      </c>
      <c r="B323">
        <v>24.634373</v>
      </c>
      <c r="C323" t="s">
        <v>9</v>
      </c>
      <c r="D323" t="s">
        <v>8</v>
      </c>
      <c r="E323" t="s">
        <v>14</v>
      </c>
      <c r="F323">
        <v>73</v>
      </c>
      <c r="G323">
        <v>0.45036599999999999</v>
      </c>
      <c r="H323" t="s">
        <v>332</v>
      </c>
      <c r="J323">
        <f t="shared" si="4"/>
        <v>0.45039999999999997</v>
      </c>
    </row>
    <row r="324" spans="1:10" x14ac:dyDescent="0.3">
      <c r="A324">
        <v>362</v>
      </c>
      <c r="B324">
        <v>24.635698000000001</v>
      </c>
      <c r="C324" t="s">
        <v>8</v>
      </c>
      <c r="D324" t="s">
        <v>9</v>
      </c>
      <c r="E324" t="s">
        <v>14</v>
      </c>
      <c r="F324">
        <v>58</v>
      </c>
      <c r="G324">
        <v>1.325E-3</v>
      </c>
      <c r="H324" t="s">
        <v>333</v>
      </c>
      <c r="J324">
        <f t="shared" ref="J324:J372" si="5">ROUNDUP(G324,4)</f>
        <v>1.4E-3</v>
      </c>
    </row>
    <row r="325" spans="1:10" x14ac:dyDescent="0.3">
      <c r="A325">
        <v>363</v>
      </c>
      <c r="B325">
        <v>24.635997</v>
      </c>
      <c r="C325" t="s">
        <v>9</v>
      </c>
      <c r="D325" t="s">
        <v>8</v>
      </c>
      <c r="E325" t="s">
        <v>10</v>
      </c>
      <c r="F325">
        <v>60</v>
      </c>
      <c r="G325">
        <v>2.99E-4</v>
      </c>
      <c r="H325" t="s">
        <v>334</v>
      </c>
      <c r="J325">
        <f t="shared" si="5"/>
        <v>3.0000000000000003E-4</v>
      </c>
    </row>
    <row r="326" spans="1:10" x14ac:dyDescent="0.3">
      <c r="A326">
        <v>364</v>
      </c>
      <c r="B326">
        <v>24.637191000000001</v>
      </c>
      <c r="C326" t="s">
        <v>9</v>
      </c>
      <c r="D326" t="s">
        <v>8</v>
      </c>
      <c r="E326" t="s">
        <v>14</v>
      </c>
      <c r="F326">
        <v>60</v>
      </c>
      <c r="G326">
        <v>1.194E-3</v>
      </c>
      <c r="H326" t="s">
        <v>335</v>
      </c>
      <c r="J326">
        <f t="shared" si="5"/>
        <v>1.2000000000000001E-3</v>
      </c>
    </row>
    <row r="327" spans="1:10" x14ac:dyDescent="0.3">
      <c r="A327">
        <v>365</v>
      </c>
      <c r="B327">
        <v>24.638196000000001</v>
      </c>
      <c r="C327" t="s">
        <v>8</v>
      </c>
      <c r="D327" t="s">
        <v>9</v>
      </c>
      <c r="E327" t="s">
        <v>14</v>
      </c>
      <c r="F327">
        <v>58</v>
      </c>
      <c r="G327">
        <v>1.005E-3</v>
      </c>
      <c r="H327" t="s">
        <v>336</v>
      </c>
      <c r="J327">
        <f t="shared" si="5"/>
        <v>1.1000000000000001E-3</v>
      </c>
    </row>
    <row r="328" spans="1:10" x14ac:dyDescent="0.3">
      <c r="A328">
        <v>366</v>
      </c>
      <c r="B328">
        <v>24.679886</v>
      </c>
      <c r="C328" t="s">
        <v>9</v>
      </c>
      <c r="D328" t="s">
        <v>8</v>
      </c>
      <c r="E328" t="s">
        <v>10</v>
      </c>
      <c r="F328">
        <v>60</v>
      </c>
      <c r="G328">
        <v>4.1689999999999998E-2</v>
      </c>
      <c r="H328" t="s">
        <v>337</v>
      </c>
      <c r="J328">
        <f t="shared" si="5"/>
        <v>4.1700000000000001E-2</v>
      </c>
    </row>
    <row r="329" spans="1:10" x14ac:dyDescent="0.3">
      <c r="A329">
        <v>369</v>
      </c>
      <c r="B329">
        <v>25.171341999999999</v>
      </c>
      <c r="C329" t="s">
        <v>8</v>
      </c>
      <c r="D329" t="s">
        <v>9</v>
      </c>
      <c r="E329" t="s">
        <v>14</v>
      </c>
      <c r="F329">
        <v>73</v>
      </c>
      <c r="G329">
        <v>0.491456</v>
      </c>
      <c r="H329" t="s">
        <v>338</v>
      </c>
      <c r="J329">
        <f t="shared" si="5"/>
        <v>0.49149999999999999</v>
      </c>
    </row>
    <row r="330" spans="1:10" x14ac:dyDescent="0.3">
      <c r="A330">
        <v>370</v>
      </c>
      <c r="B330">
        <v>25.172056999999999</v>
      </c>
      <c r="C330" t="s">
        <v>9</v>
      </c>
      <c r="D330" t="s">
        <v>8</v>
      </c>
      <c r="E330" t="s">
        <v>10</v>
      </c>
      <c r="F330">
        <v>60</v>
      </c>
      <c r="G330">
        <v>7.1500000000000003E-4</v>
      </c>
      <c r="H330" t="s">
        <v>339</v>
      </c>
      <c r="J330">
        <f t="shared" si="5"/>
        <v>8.0000000000000004E-4</v>
      </c>
    </row>
    <row r="331" spans="1:10" x14ac:dyDescent="0.3">
      <c r="A331">
        <v>371</v>
      </c>
      <c r="B331">
        <v>25.176888000000002</v>
      </c>
      <c r="C331" t="s">
        <v>9</v>
      </c>
      <c r="D331" t="s">
        <v>8</v>
      </c>
      <c r="E331" t="s">
        <v>14</v>
      </c>
      <c r="F331">
        <v>60</v>
      </c>
      <c r="G331">
        <v>4.8310000000000002E-3</v>
      </c>
      <c r="H331" t="s">
        <v>340</v>
      </c>
      <c r="J331">
        <f t="shared" si="5"/>
        <v>4.8999999999999998E-3</v>
      </c>
    </row>
    <row r="332" spans="1:10" x14ac:dyDescent="0.3">
      <c r="A332">
        <v>372</v>
      </c>
      <c r="B332">
        <v>25.177775</v>
      </c>
      <c r="C332" t="s">
        <v>8</v>
      </c>
      <c r="D332" t="s">
        <v>9</v>
      </c>
      <c r="E332" t="s">
        <v>14</v>
      </c>
      <c r="F332">
        <v>58</v>
      </c>
      <c r="G332">
        <v>8.8699999999999998E-4</v>
      </c>
      <c r="H332" t="s">
        <v>341</v>
      </c>
      <c r="J332">
        <f t="shared" si="5"/>
        <v>9.0000000000000008E-4</v>
      </c>
    </row>
    <row r="333" spans="1:10" x14ac:dyDescent="0.3">
      <c r="A333">
        <v>373</v>
      </c>
      <c r="B333">
        <v>25.177973000000001</v>
      </c>
      <c r="C333" t="s">
        <v>9</v>
      </c>
      <c r="D333" t="s">
        <v>8</v>
      </c>
      <c r="E333" t="s">
        <v>14</v>
      </c>
      <c r="F333">
        <v>73</v>
      </c>
      <c r="G333">
        <v>1.9799999999999999E-4</v>
      </c>
      <c r="H333" t="s">
        <v>342</v>
      </c>
      <c r="J333">
        <f t="shared" si="5"/>
        <v>2.0000000000000001E-4</v>
      </c>
    </row>
    <row r="334" spans="1:10" x14ac:dyDescent="0.3">
      <c r="A334">
        <v>374</v>
      </c>
      <c r="B334">
        <v>25.179120000000001</v>
      </c>
      <c r="C334" t="s">
        <v>9</v>
      </c>
      <c r="D334" t="s">
        <v>8</v>
      </c>
      <c r="E334" t="s">
        <v>14</v>
      </c>
      <c r="F334">
        <v>60</v>
      </c>
      <c r="G334">
        <v>1.147E-3</v>
      </c>
      <c r="H334" t="s">
        <v>343</v>
      </c>
      <c r="J334">
        <f t="shared" si="5"/>
        <v>1.2000000000000001E-3</v>
      </c>
    </row>
    <row r="335" spans="1:10" x14ac:dyDescent="0.3">
      <c r="A335">
        <v>375</v>
      </c>
      <c r="B335">
        <v>25.179148000000001</v>
      </c>
      <c r="C335" t="s">
        <v>8</v>
      </c>
      <c r="D335" t="s">
        <v>9</v>
      </c>
      <c r="E335" t="s">
        <v>14</v>
      </c>
      <c r="F335">
        <v>58</v>
      </c>
      <c r="G335">
        <v>2.8E-5</v>
      </c>
      <c r="H335" t="s">
        <v>344</v>
      </c>
      <c r="J335">
        <f t="shared" si="5"/>
        <v>1E-4</v>
      </c>
    </row>
    <row r="336" spans="1:10" x14ac:dyDescent="0.3">
      <c r="A336">
        <v>376</v>
      </c>
      <c r="B336">
        <v>25.180237000000002</v>
      </c>
      <c r="C336" t="s">
        <v>9</v>
      </c>
      <c r="D336" t="s">
        <v>8</v>
      </c>
      <c r="E336" t="s">
        <v>14</v>
      </c>
      <c r="F336">
        <v>60</v>
      </c>
      <c r="G336">
        <v>1.0889999999999999E-3</v>
      </c>
      <c r="H336" t="s">
        <v>345</v>
      </c>
      <c r="J336">
        <f t="shared" si="5"/>
        <v>1.1000000000000001E-3</v>
      </c>
    </row>
    <row r="337" spans="1:10" x14ac:dyDescent="0.3">
      <c r="A337">
        <v>377</v>
      </c>
      <c r="B337">
        <v>25.192703000000002</v>
      </c>
      <c r="C337" t="s">
        <v>8</v>
      </c>
      <c r="D337" t="s">
        <v>9</v>
      </c>
      <c r="E337" t="s">
        <v>14</v>
      </c>
      <c r="F337">
        <v>58</v>
      </c>
      <c r="G337">
        <v>1.2466E-2</v>
      </c>
      <c r="H337" t="s">
        <v>346</v>
      </c>
      <c r="J337">
        <f t="shared" si="5"/>
        <v>1.2499999999999999E-2</v>
      </c>
    </row>
    <row r="338" spans="1:10" x14ac:dyDescent="0.3">
      <c r="A338">
        <v>378</v>
      </c>
      <c r="B338">
        <v>25.235797000000002</v>
      </c>
      <c r="C338" t="s">
        <v>9</v>
      </c>
      <c r="D338" t="s">
        <v>8</v>
      </c>
      <c r="E338" t="s">
        <v>10</v>
      </c>
      <c r="F338">
        <v>60</v>
      </c>
      <c r="G338">
        <v>4.3094E-2</v>
      </c>
      <c r="H338" t="s">
        <v>347</v>
      </c>
      <c r="J338">
        <f t="shared" si="5"/>
        <v>4.3099999999999999E-2</v>
      </c>
    </row>
    <row r="339" spans="1:10" x14ac:dyDescent="0.3">
      <c r="A339">
        <v>379</v>
      </c>
      <c r="B339">
        <v>25.699482</v>
      </c>
      <c r="C339" t="s">
        <v>9</v>
      </c>
      <c r="D339" t="s">
        <v>8</v>
      </c>
      <c r="E339" t="s">
        <v>14</v>
      </c>
      <c r="F339">
        <v>73</v>
      </c>
      <c r="G339">
        <v>0.46368500000000001</v>
      </c>
      <c r="H339" t="s">
        <v>348</v>
      </c>
      <c r="J339">
        <f t="shared" si="5"/>
        <v>0.4637</v>
      </c>
    </row>
    <row r="340" spans="1:10" x14ac:dyDescent="0.3">
      <c r="A340">
        <v>380</v>
      </c>
      <c r="B340">
        <v>25.700834</v>
      </c>
      <c r="C340" t="s">
        <v>8</v>
      </c>
      <c r="D340" t="s">
        <v>9</v>
      </c>
      <c r="E340" t="s">
        <v>14</v>
      </c>
      <c r="F340">
        <v>58</v>
      </c>
      <c r="G340">
        <v>1.3519999999999999E-3</v>
      </c>
      <c r="H340" t="s">
        <v>349</v>
      </c>
      <c r="J340">
        <f t="shared" si="5"/>
        <v>1.4E-3</v>
      </c>
    </row>
    <row r="341" spans="1:10" x14ac:dyDescent="0.3">
      <c r="A341">
        <v>381</v>
      </c>
      <c r="B341">
        <v>25.701253000000001</v>
      </c>
      <c r="C341" t="s">
        <v>9</v>
      </c>
      <c r="D341" t="s">
        <v>8</v>
      </c>
      <c r="E341" t="s">
        <v>10</v>
      </c>
      <c r="F341">
        <v>60</v>
      </c>
      <c r="G341">
        <v>4.1899999999999999E-4</v>
      </c>
      <c r="H341" t="s">
        <v>350</v>
      </c>
      <c r="J341">
        <f t="shared" si="5"/>
        <v>5.0000000000000001E-4</v>
      </c>
    </row>
    <row r="342" spans="1:10" x14ac:dyDescent="0.3">
      <c r="A342">
        <v>382</v>
      </c>
      <c r="B342">
        <v>25.702593</v>
      </c>
      <c r="C342" t="s">
        <v>9</v>
      </c>
      <c r="D342" t="s">
        <v>8</v>
      </c>
      <c r="E342" t="s">
        <v>14</v>
      </c>
      <c r="F342">
        <v>60</v>
      </c>
      <c r="G342">
        <v>1.34E-3</v>
      </c>
      <c r="H342" t="s">
        <v>351</v>
      </c>
      <c r="J342">
        <f t="shared" si="5"/>
        <v>1.4E-3</v>
      </c>
    </row>
    <row r="343" spans="1:10" x14ac:dyDescent="0.3">
      <c r="A343">
        <v>383</v>
      </c>
      <c r="B343">
        <v>25.703945999999998</v>
      </c>
      <c r="C343" t="s">
        <v>8</v>
      </c>
      <c r="D343" t="s">
        <v>9</v>
      </c>
      <c r="E343" t="s">
        <v>14</v>
      </c>
      <c r="F343">
        <v>58</v>
      </c>
      <c r="G343">
        <v>1.353E-3</v>
      </c>
      <c r="H343" t="s">
        <v>352</v>
      </c>
      <c r="J343">
        <f t="shared" si="5"/>
        <v>1.4E-3</v>
      </c>
    </row>
    <row r="344" spans="1:10" x14ac:dyDescent="0.3">
      <c r="A344">
        <v>384</v>
      </c>
      <c r="B344">
        <v>25.748017000000001</v>
      </c>
      <c r="C344" t="s">
        <v>9</v>
      </c>
      <c r="D344" t="s">
        <v>8</v>
      </c>
      <c r="E344" t="s">
        <v>10</v>
      </c>
      <c r="F344">
        <v>60</v>
      </c>
      <c r="G344">
        <v>4.4070999999999999E-2</v>
      </c>
      <c r="H344" t="s">
        <v>353</v>
      </c>
      <c r="J344">
        <f t="shared" si="5"/>
        <v>4.41E-2</v>
      </c>
    </row>
    <row r="345" spans="1:10" x14ac:dyDescent="0.3">
      <c r="A345">
        <v>390</v>
      </c>
      <c r="B345">
        <v>26.15232</v>
      </c>
      <c r="C345" t="s">
        <v>8</v>
      </c>
      <c r="D345" t="s">
        <v>9</v>
      </c>
      <c r="E345" t="s">
        <v>14</v>
      </c>
      <c r="F345">
        <v>73</v>
      </c>
      <c r="G345">
        <v>0.40430300000000002</v>
      </c>
      <c r="H345" t="s">
        <v>354</v>
      </c>
      <c r="J345">
        <f t="shared" si="5"/>
        <v>0.40439999999999998</v>
      </c>
    </row>
    <row r="346" spans="1:10" x14ac:dyDescent="0.3">
      <c r="A346">
        <v>391</v>
      </c>
      <c r="B346">
        <v>26.152939</v>
      </c>
      <c r="C346" t="s">
        <v>9</v>
      </c>
      <c r="D346" t="s">
        <v>8</v>
      </c>
      <c r="E346" t="s">
        <v>10</v>
      </c>
      <c r="F346">
        <v>60</v>
      </c>
      <c r="G346">
        <v>6.1899999999999998E-4</v>
      </c>
      <c r="H346" t="s">
        <v>355</v>
      </c>
      <c r="J346">
        <f t="shared" si="5"/>
        <v>6.9999999999999999E-4</v>
      </c>
    </row>
    <row r="347" spans="1:10" x14ac:dyDescent="0.3">
      <c r="A347">
        <v>392</v>
      </c>
      <c r="B347">
        <v>26.157495000000001</v>
      </c>
      <c r="C347" t="s">
        <v>9</v>
      </c>
      <c r="D347" t="s">
        <v>8</v>
      </c>
      <c r="E347" t="s">
        <v>14</v>
      </c>
      <c r="F347">
        <v>60</v>
      </c>
      <c r="G347">
        <v>4.5560000000000002E-3</v>
      </c>
      <c r="H347" t="s">
        <v>356</v>
      </c>
      <c r="J347">
        <f t="shared" si="5"/>
        <v>4.5999999999999999E-3</v>
      </c>
    </row>
    <row r="348" spans="1:10" x14ac:dyDescent="0.3">
      <c r="A348">
        <v>393</v>
      </c>
      <c r="B348">
        <v>26.158138000000001</v>
      </c>
      <c r="C348" t="s">
        <v>8</v>
      </c>
      <c r="D348" t="s">
        <v>9</v>
      </c>
      <c r="E348" t="s">
        <v>14</v>
      </c>
      <c r="F348">
        <v>58</v>
      </c>
      <c r="G348">
        <v>6.4300000000000002E-4</v>
      </c>
      <c r="H348" t="s">
        <v>357</v>
      </c>
      <c r="J348">
        <f t="shared" si="5"/>
        <v>6.9999999999999999E-4</v>
      </c>
    </row>
    <row r="349" spans="1:10" x14ac:dyDescent="0.3">
      <c r="A349">
        <v>394</v>
      </c>
      <c r="B349">
        <v>26.158736999999999</v>
      </c>
      <c r="C349" t="s">
        <v>9</v>
      </c>
      <c r="D349" t="s">
        <v>8</v>
      </c>
      <c r="E349" t="s">
        <v>14</v>
      </c>
      <c r="F349">
        <v>73</v>
      </c>
      <c r="G349">
        <v>5.9900000000000003E-4</v>
      </c>
      <c r="H349" t="s">
        <v>358</v>
      </c>
      <c r="J349">
        <f t="shared" si="5"/>
        <v>6.0000000000000006E-4</v>
      </c>
    </row>
    <row r="350" spans="1:10" x14ac:dyDescent="0.3">
      <c r="A350">
        <v>395</v>
      </c>
      <c r="B350">
        <v>26.159573000000002</v>
      </c>
      <c r="C350" t="s">
        <v>8</v>
      </c>
      <c r="D350" t="s">
        <v>9</v>
      </c>
      <c r="E350" t="s">
        <v>14</v>
      </c>
      <c r="F350">
        <v>58</v>
      </c>
      <c r="G350">
        <v>8.3600000000000005E-4</v>
      </c>
      <c r="H350" t="s">
        <v>359</v>
      </c>
      <c r="J350">
        <f t="shared" si="5"/>
        <v>9.0000000000000008E-4</v>
      </c>
    </row>
    <row r="351" spans="1:10" x14ac:dyDescent="0.3">
      <c r="A351">
        <v>396</v>
      </c>
      <c r="B351">
        <v>26.160947</v>
      </c>
      <c r="C351" t="s">
        <v>9</v>
      </c>
      <c r="D351" t="s">
        <v>8</v>
      </c>
      <c r="E351" t="s">
        <v>14</v>
      </c>
      <c r="F351">
        <v>60</v>
      </c>
      <c r="G351">
        <v>1.374E-3</v>
      </c>
      <c r="H351" t="s">
        <v>360</v>
      </c>
      <c r="J351">
        <f t="shared" si="5"/>
        <v>1.4E-3</v>
      </c>
    </row>
    <row r="352" spans="1:10" x14ac:dyDescent="0.3">
      <c r="A352">
        <v>397</v>
      </c>
      <c r="B352">
        <v>26.161543000000002</v>
      </c>
      <c r="C352" t="s">
        <v>9</v>
      </c>
      <c r="D352" t="s">
        <v>8</v>
      </c>
      <c r="E352" t="s">
        <v>14</v>
      </c>
      <c r="F352">
        <v>60</v>
      </c>
      <c r="G352">
        <v>5.9599999999999996E-4</v>
      </c>
      <c r="H352" t="s">
        <v>361</v>
      </c>
      <c r="J352">
        <f t="shared" si="5"/>
        <v>6.0000000000000006E-4</v>
      </c>
    </row>
    <row r="353" spans="1:10" x14ac:dyDescent="0.3">
      <c r="A353">
        <v>398</v>
      </c>
      <c r="B353">
        <v>26.161565</v>
      </c>
      <c r="C353" t="s">
        <v>8</v>
      </c>
      <c r="D353" t="s">
        <v>9</v>
      </c>
      <c r="E353" t="s">
        <v>10</v>
      </c>
      <c r="F353">
        <v>54</v>
      </c>
      <c r="G353">
        <v>2.1999999999999999E-5</v>
      </c>
      <c r="H353" t="s">
        <v>362</v>
      </c>
      <c r="J353">
        <f t="shared" si="5"/>
        <v>1E-4</v>
      </c>
    </row>
    <row r="354" spans="1:10" x14ac:dyDescent="0.3">
      <c r="A354">
        <v>399</v>
      </c>
      <c r="B354">
        <v>26.174581</v>
      </c>
      <c r="C354" t="s">
        <v>8</v>
      </c>
      <c r="D354" t="s">
        <v>9</v>
      </c>
      <c r="E354" t="s">
        <v>14</v>
      </c>
      <c r="F354">
        <v>58</v>
      </c>
      <c r="G354">
        <v>1.3016E-2</v>
      </c>
      <c r="H354" t="s">
        <v>363</v>
      </c>
      <c r="J354">
        <f t="shared" si="5"/>
        <v>1.3099999999999999E-2</v>
      </c>
    </row>
    <row r="355" spans="1:10" x14ac:dyDescent="0.3">
      <c r="A355">
        <v>400</v>
      </c>
      <c r="B355">
        <v>26.215986000000001</v>
      </c>
      <c r="C355" t="s">
        <v>9</v>
      </c>
      <c r="D355" t="s">
        <v>8</v>
      </c>
      <c r="E355" t="s">
        <v>10</v>
      </c>
      <c r="F355">
        <v>60</v>
      </c>
      <c r="G355">
        <v>4.1404999999999997E-2</v>
      </c>
      <c r="H355" t="s">
        <v>364</v>
      </c>
      <c r="J355">
        <f t="shared" si="5"/>
        <v>4.1500000000000002E-2</v>
      </c>
    </row>
    <row r="356" spans="1:10" x14ac:dyDescent="0.3">
      <c r="A356">
        <v>401</v>
      </c>
      <c r="B356">
        <v>26.354389000000001</v>
      </c>
      <c r="C356" t="s">
        <v>8</v>
      </c>
      <c r="D356" t="s">
        <v>243</v>
      </c>
      <c r="E356" t="s">
        <v>10</v>
      </c>
      <c r="F356">
        <v>66</v>
      </c>
      <c r="G356">
        <v>0.138403</v>
      </c>
      <c r="H356" t="s">
        <v>260</v>
      </c>
      <c r="J356">
        <f t="shared" si="5"/>
        <v>0.13849999999999998</v>
      </c>
    </row>
    <row r="357" spans="1:10" x14ac:dyDescent="0.3">
      <c r="A357">
        <v>402</v>
      </c>
      <c r="B357">
        <v>26.354416000000001</v>
      </c>
      <c r="C357" t="s">
        <v>8</v>
      </c>
      <c r="D357" t="s">
        <v>245</v>
      </c>
      <c r="E357" t="s">
        <v>10</v>
      </c>
      <c r="F357">
        <v>66</v>
      </c>
      <c r="G357">
        <v>2.6999999999999999E-5</v>
      </c>
      <c r="H357" t="s">
        <v>259</v>
      </c>
      <c r="J357">
        <f t="shared" si="5"/>
        <v>1E-4</v>
      </c>
    </row>
    <row r="358" spans="1:10" x14ac:dyDescent="0.3">
      <c r="A358">
        <v>407</v>
      </c>
      <c r="B358">
        <v>26.750779000000001</v>
      </c>
      <c r="C358" t="s">
        <v>9</v>
      </c>
      <c r="D358" t="s">
        <v>8</v>
      </c>
      <c r="E358" t="s">
        <v>14</v>
      </c>
      <c r="F358">
        <v>73</v>
      </c>
      <c r="G358">
        <v>0.39636300000000002</v>
      </c>
      <c r="H358" t="s">
        <v>365</v>
      </c>
      <c r="J358">
        <f t="shared" si="5"/>
        <v>0.39639999999999997</v>
      </c>
    </row>
    <row r="359" spans="1:10" x14ac:dyDescent="0.3">
      <c r="A359">
        <v>408</v>
      </c>
      <c r="B359">
        <v>26.751963</v>
      </c>
      <c r="C359" t="s">
        <v>8</v>
      </c>
      <c r="D359" t="s">
        <v>9</v>
      </c>
      <c r="E359" t="s">
        <v>14</v>
      </c>
      <c r="F359">
        <v>58</v>
      </c>
      <c r="G359">
        <v>1.1839999999999999E-3</v>
      </c>
      <c r="H359" t="s">
        <v>366</v>
      </c>
      <c r="J359">
        <f t="shared" si="5"/>
        <v>1.2000000000000001E-3</v>
      </c>
    </row>
    <row r="360" spans="1:10" x14ac:dyDescent="0.3">
      <c r="A360">
        <v>409</v>
      </c>
      <c r="B360">
        <v>26.752268000000001</v>
      </c>
      <c r="C360" t="s">
        <v>9</v>
      </c>
      <c r="D360" t="s">
        <v>8</v>
      </c>
      <c r="E360" t="s">
        <v>10</v>
      </c>
      <c r="F360">
        <v>60</v>
      </c>
      <c r="G360">
        <v>3.0499999999999999E-4</v>
      </c>
      <c r="H360" t="s">
        <v>367</v>
      </c>
      <c r="J360">
        <f t="shared" si="5"/>
        <v>3.9999999999999996E-4</v>
      </c>
    </row>
    <row r="361" spans="1:10" x14ac:dyDescent="0.3">
      <c r="A361">
        <v>410</v>
      </c>
      <c r="B361">
        <v>26.752963999999999</v>
      </c>
      <c r="C361" t="s">
        <v>9</v>
      </c>
      <c r="D361" t="s">
        <v>8</v>
      </c>
      <c r="E361" t="s">
        <v>14</v>
      </c>
      <c r="F361">
        <v>60</v>
      </c>
      <c r="G361">
        <v>6.96E-4</v>
      </c>
      <c r="H361" t="s">
        <v>368</v>
      </c>
      <c r="J361">
        <f t="shared" si="5"/>
        <v>6.9999999999999999E-4</v>
      </c>
    </row>
    <row r="362" spans="1:10" x14ac:dyDescent="0.3">
      <c r="A362">
        <v>411</v>
      </c>
      <c r="B362">
        <v>26.754061</v>
      </c>
      <c r="C362" t="s">
        <v>8</v>
      </c>
      <c r="D362" t="s">
        <v>9</v>
      </c>
      <c r="E362" t="s">
        <v>14</v>
      </c>
      <c r="F362">
        <v>58</v>
      </c>
      <c r="G362">
        <v>1.0970000000000001E-3</v>
      </c>
      <c r="H362" t="s">
        <v>369</v>
      </c>
      <c r="J362">
        <f t="shared" si="5"/>
        <v>1.1000000000000001E-3</v>
      </c>
    </row>
    <row r="363" spans="1:10" x14ac:dyDescent="0.3">
      <c r="A363">
        <v>413</v>
      </c>
      <c r="B363">
        <v>26.795898000000001</v>
      </c>
      <c r="C363" t="s">
        <v>9</v>
      </c>
      <c r="D363" t="s">
        <v>8</v>
      </c>
      <c r="E363" t="s">
        <v>10</v>
      </c>
      <c r="F363">
        <v>60</v>
      </c>
      <c r="G363">
        <v>4.1836999999999999E-2</v>
      </c>
      <c r="H363" t="s">
        <v>370</v>
      </c>
      <c r="J363">
        <f t="shared" si="5"/>
        <v>4.19E-2</v>
      </c>
    </row>
    <row r="364" spans="1:10" x14ac:dyDescent="0.3">
      <c r="A364">
        <v>420</v>
      </c>
      <c r="B364">
        <v>27.388504999999999</v>
      </c>
      <c r="C364" t="s">
        <v>8</v>
      </c>
      <c r="D364" t="s">
        <v>261</v>
      </c>
      <c r="E364" t="s">
        <v>10</v>
      </c>
      <c r="F364">
        <v>66</v>
      </c>
      <c r="G364">
        <v>0.59260699999999999</v>
      </c>
      <c r="H364" t="s">
        <v>280</v>
      </c>
      <c r="J364">
        <f t="shared" si="5"/>
        <v>0.5927</v>
      </c>
    </row>
    <row r="365" spans="1:10" x14ac:dyDescent="0.3">
      <c r="A365">
        <v>442</v>
      </c>
      <c r="B365">
        <v>34.365032999999997</v>
      </c>
      <c r="C365" t="s">
        <v>8</v>
      </c>
      <c r="D365" t="s">
        <v>243</v>
      </c>
      <c r="E365" t="s">
        <v>10</v>
      </c>
      <c r="F365">
        <v>66</v>
      </c>
      <c r="G365">
        <v>6.9765280000000001</v>
      </c>
      <c r="H365" t="s">
        <v>260</v>
      </c>
      <c r="J365">
        <f t="shared" si="5"/>
        <v>6.9765999999999995</v>
      </c>
    </row>
    <row r="366" spans="1:10" x14ac:dyDescent="0.3">
      <c r="A366">
        <v>443</v>
      </c>
      <c r="B366">
        <v>34.365215999999997</v>
      </c>
      <c r="C366" t="s">
        <v>8</v>
      </c>
      <c r="D366" t="s">
        <v>245</v>
      </c>
      <c r="E366" t="s">
        <v>10</v>
      </c>
      <c r="F366">
        <v>66</v>
      </c>
      <c r="G366">
        <v>1.83E-4</v>
      </c>
      <c r="H366" t="s">
        <v>259</v>
      </c>
      <c r="J366">
        <f t="shared" si="5"/>
        <v>2.0000000000000001E-4</v>
      </c>
    </row>
    <row r="367" spans="1:10" x14ac:dyDescent="0.3">
      <c r="A367">
        <v>444</v>
      </c>
      <c r="B367">
        <v>35.394218000000002</v>
      </c>
      <c r="C367" t="s">
        <v>8</v>
      </c>
      <c r="D367" t="s">
        <v>261</v>
      </c>
      <c r="E367" t="s">
        <v>10</v>
      </c>
      <c r="F367">
        <v>66</v>
      </c>
      <c r="G367">
        <v>1.029002</v>
      </c>
      <c r="H367" t="s">
        <v>280</v>
      </c>
      <c r="J367">
        <f t="shared" si="5"/>
        <v>1.0290999999999999</v>
      </c>
    </row>
    <row r="368" spans="1:10" x14ac:dyDescent="0.3">
      <c r="A368">
        <v>445</v>
      </c>
      <c r="B368">
        <v>35.986767999999998</v>
      </c>
      <c r="C368" t="s">
        <v>8</v>
      </c>
      <c r="D368" t="s">
        <v>51</v>
      </c>
      <c r="E368" t="s">
        <v>10</v>
      </c>
      <c r="F368">
        <v>66</v>
      </c>
      <c r="G368">
        <v>0.59255000000000002</v>
      </c>
      <c r="H368" t="s">
        <v>371</v>
      </c>
      <c r="J368">
        <f t="shared" si="5"/>
        <v>0.59260000000000002</v>
      </c>
    </row>
    <row r="369" spans="1:13" x14ac:dyDescent="0.3">
      <c r="A369">
        <v>452</v>
      </c>
      <c r="B369">
        <v>37.001336999999999</v>
      </c>
      <c r="C369" t="s">
        <v>8</v>
      </c>
      <c r="D369" t="s">
        <v>51</v>
      </c>
      <c r="E369" t="s">
        <v>10</v>
      </c>
      <c r="F369">
        <v>66</v>
      </c>
      <c r="G369">
        <v>1.0145690000000001</v>
      </c>
      <c r="H369" t="s">
        <v>372</v>
      </c>
      <c r="J369">
        <f t="shared" si="5"/>
        <v>1.0145999999999999</v>
      </c>
    </row>
    <row r="370" spans="1:13" x14ac:dyDescent="0.3">
      <c r="A370">
        <v>458</v>
      </c>
      <c r="B370">
        <v>39.010558000000003</v>
      </c>
      <c r="C370" t="s">
        <v>8</v>
      </c>
      <c r="D370" t="s">
        <v>51</v>
      </c>
      <c r="E370" t="s">
        <v>10</v>
      </c>
      <c r="F370">
        <v>66</v>
      </c>
      <c r="G370">
        <v>2.0092210000000001</v>
      </c>
      <c r="H370" t="s">
        <v>372</v>
      </c>
      <c r="J370">
        <f t="shared" si="5"/>
        <v>2.0093000000000001</v>
      </c>
    </row>
    <row r="371" spans="1:13" x14ac:dyDescent="0.3">
      <c r="A371">
        <v>469</v>
      </c>
      <c r="B371">
        <v>43.020893999999998</v>
      </c>
      <c r="C371" t="s">
        <v>8</v>
      </c>
      <c r="D371" t="s">
        <v>51</v>
      </c>
      <c r="E371" t="s">
        <v>10</v>
      </c>
      <c r="F371">
        <v>66</v>
      </c>
      <c r="G371">
        <v>4.0103359999999997</v>
      </c>
      <c r="H371" t="s">
        <v>372</v>
      </c>
      <c r="J371">
        <f t="shared" si="5"/>
        <v>4.0103999999999997</v>
      </c>
    </row>
    <row r="372" spans="1:13" x14ac:dyDescent="0.3">
      <c r="A372">
        <v>492</v>
      </c>
      <c r="B372">
        <v>51.023803000000001</v>
      </c>
      <c r="C372" t="s">
        <v>8</v>
      </c>
      <c r="D372" t="s">
        <v>51</v>
      </c>
      <c r="E372" t="s">
        <v>10</v>
      </c>
      <c r="F372">
        <v>66</v>
      </c>
      <c r="G372">
        <v>8.0029090000000007</v>
      </c>
      <c r="H372" t="s">
        <v>372</v>
      </c>
      <c r="J372">
        <f t="shared" si="5"/>
        <v>8.0030000000000001</v>
      </c>
    </row>
    <row r="373" spans="1:13" x14ac:dyDescent="0.3">
      <c r="I373" s="2" t="s">
        <v>373</v>
      </c>
      <c r="J373" s="1">
        <f>SUM(J2:J372)</f>
        <v>50.707899999999974</v>
      </c>
      <c r="K373" s="1">
        <v>371</v>
      </c>
      <c r="L373" s="1">
        <f>J373/K373</f>
        <v>0.13667897574123983</v>
      </c>
      <c r="M373" s="1" t="s">
        <v>374</v>
      </c>
    </row>
    <row r="374" spans="1:13" x14ac:dyDescent="0.3">
      <c r="I374" s="1"/>
      <c r="J374" s="1"/>
      <c r="K374" s="1"/>
      <c r="L374" s="3">
        <f>L373*1000</f>
        <v>136.67897574123984</v>
      </c>
      <c r="M374" s="1" t="s">
        <v>375</v>
      </c>
    </row>
    <row r="375" spans="1:13" x14ac:dyDescent="0.3">
      <c r="I375" s="1"/>
      <c r="J375" s="1"/>
      <c r="K375" s="1"/>
      <c r="L375" s="1"/>
      <c r="M375" s="1"/>
    </row>
    <row r="376" spans="1:13" x14ac:dyDescent="0.3">
      <c r="I376" s="2" t="s">
        <v>376</v>
      </c>
      <c r="J376" s="1">
        <v>22944</v>
      </c>
      <c r="K376" s="1" t="s">
        <v>377</v>
      </c>
      <c r="L376" s="1"/>
      <c r="M376" s="1"/>
    </row>
    <row r="377" spans="1:13" x14ac:dyDescent="0.3">
      <c r="I377" s="1"/>
      <c r="J377" s="1">
        <f>J376/J373</f>
        <v>452.4738748794569</v>
      </c>
      <c r="K377" s="1" t="s">
        <v>377</v>
      </c>
      <c r="L377" s="1"/>
      <c r="M377" s="1"/>
    </row>
    <row r="378" spans="1:13" x14ac:dyDescent="0.3">
      <c r="I378" s="1"/>
      <c r="J378" s="1">
        <f>J377*8</f>
        <v>3619.7909990356552</v>
      </c>
      <c r="K378" s="1" t="s">
        <v>378</v>
      </c>
      <c r="L378" s="1"/>
      <c r="M378" s="1"/>
    </row>
    <row r="379" spans="1:13" x14ac:dyDescent="0.3">
      <c r="I379" s="1"/>
      <c r="J379" s="3">
        <f>J378/1000</f>
        <v>3.6197909990356552</v>
      </c>
      <c r="K379" s="1" t="s">
        <v>379</v>
      </c>
      <c r="L379" s="1"/>
      <c r="M379" s="1"/>
    </row>
    <row r="380" spans="1:13" x14ac:dyDescent="0.3">
      <c r="I380" s="1"/>
      <c r="J380" s="1"/>
      <c r="K380" s="1"/>
      <c r="L380" s="1"/>
      <c r="M380" s="1"/>
    </row>
    <row r="381" spans="1:13" x14ac:dyDescent="0.3">
      <c r="I381" s="2" t="s">
        <v>380</v>
      </c>
      <c r="J381" s="1">
        <v>371</v>
      </c>
      <c r="K381" s="1" t="s">
        <v>381</v>
      </c>
      <c r="L381" s="1"/>
      <c r="M381" s="1"/>
    </row>
    <row r="382" spans="1:13" x14ac:dyDescent="0.3">
      <c r="I382" s="1"/>
      <c r="J382" s="1">
        <v>0</v>
      </c>
      <c r="K382" s="1" t="s">
        <v>382</v>
      </c>
      <c r="L382" s="1"/>
      <c r="M382" s="1"/>
    </row>
    <row r="383" spans="1:13" x14ac:dyDescent="0.3">
      <c r="I383" s="1"/>
      <c r="J383" s="3">
        <f>(J382/J381)*100%</f>
        <v>0</v>
      </c>
      <c r="K383" s="1" t="s">
        <v>383</v>
      </c>
      <c r="L383" s="1"/>
      <c r="M38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2025-03-08T13:23:23Z</dcterms:created>
  <dcterms:modified xsi:type="dcterms:W3CDTF">2025-04-30T08:24:39Z</dcterms:modified>
</cp:coreProperties>
</file>