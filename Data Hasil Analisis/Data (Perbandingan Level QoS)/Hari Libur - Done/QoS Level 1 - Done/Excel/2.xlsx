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1\Excel\"/>
    </mc:Choice>
  </mc:AlternateContent>
  <xr:revisionPtr revIDLastSave="0" documentId="13_ncr:1_{A65FE35E-D59B-4819-9C1E-89E71CBFE34F}" xr6:coauthVersionLast="47" xr6:coauthVersionMax="47" xr10:uidLastSave="{00000000-0000-0000-0000-000000000000}"/>
  <bookViews>
    <workbookView xWindow="-108" yWindow="-108" windowWidth="23256" windowHeight="13176" xr2:uid="{F0E81FAB-2BF4-449C-B5F7-1F6758801DDA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J305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3" i="1"/>
  <c r="J295" i="1" s="1"/>
  <c r="J299" i="1" l="1"/>
  <c r="J300" i="1" s="1"/>
  <c r="J301" i="1" s="1"/>
  <c r="L295" i="1"/>
  <c r="L296" i="1" s="1"/>
</calcChain>
</file>

<file path=xl/sharedStrings.xml><?xml version="1.0" encoding="utf-8"?>
<sst xmlns="http://schemas.openxmlformats.org/spreadsheetml/2006/main" count="1192" uniqueCount="272">
  <si>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</si>
  <si>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</si>
  <si>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</si>
  <si>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</si>
  <si>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</si>
  <si>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</si>
  <si>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</si>
  <si>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</si>
  <si>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</si>
  <si>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</si>
  <si>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</si>
  <si>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63540  &gt;  80 [SYN] Seq=0 Win=64240 Len=0 MSS=1460 WS=256 SACK_PERM</t>
  </si>
  <si>
    <t>80  &gt;  63540 [RST, ACK] Seq=1 Ack=1 Win=0 Len=0</t>
  </si>
  <si>
    <t>10.10.203.103</t>
  </si>
  <si>
    <t>63541  &gt;  7680 [SYN] Seq=0 Win=64240 Len=0 MSS=1460 WS=256 SACK_PERM</t>
  </si>
  <si>
    <t>10.80.4.33</t>
  </si>
  <si>
    <t>63542  &gt;  7680 [SYN] Seq=0 Win=64240 Len=0 MSS=1460 WS=256 SACK_PERM</t>
  </si>
  <si>
    <t>[TCP Port numbers reused] 63540  &gt;  80 [SYN] Seq=0 Win=64240 Len=0 MSS=1460 WS=256 SACK_PERM</t>
  </si>
  <si>
    <t>192.168.2.4</t>
  </si>
  <si>
    <t>63543  &gt;  1883 [SYN] Seq=0 Win=64240 Len=0 MSS=1460 WS=256 SACK_PERM</t>
  </si>
  <si>
    <t>1883  &gt;  63543 [SYN, ACK] Seq=0 Ack=1 Win=64240 Len=0 MSS=1460 SACK_PERM WS=128</t>
  </si>
  <si>
    <t>63543  &gt;  1883 [ACK] Seq=1 Ack=1 Win=1051136 Len=0</t>
  </si>
  <si>
    <t>MQTT</t>
  </si>
  <si>
    <t>Connect Command</t>
  </si>
  <si>
    <t>1883  &gt;  63543 [ACK] Seq=1 Ack=46 Win=64256 Len=0</t>
  </si>
  <si>
    <t>Connect Ack</t>
  </si>
  <si>
    <t>Subscribe Request (id=7854) [test/QoS/]</t>
  </si>
  <si>
    <t>Subscribe Ack (id=7854)</t>
  </si>
  <si>
    <t>63543  &gt;  1883 [ACK] Seq=62 Ack=10 Win=1051136 Len=0</t>
  </si>
  <si>
    <t>[TCP Retransmission] 63542  &gt;  7680 [SYN] Seq=0 Win=64240 Len=0 MSS=1460 WS=256 SACK_PERM</t>
  </si>
  <si>
    <t>[TCP Retransmission] 63541  &gt;  7680 [SYN] Seq=0 Win=64240 Len=0 MSS=1460 WS=256 SACK_PERM</t>
  </si>
  <si>
    <t>10.205.3.133</t>
  </si>
  <si>
    <t>63544  &gt;  7680 [SYN] Seq=0 Win=64240 Len=0 MSS=1460 WS=256 SACK_PERM</t>
  </si>
  <si>
    <t>[TCP Retransmission] 63544  &gt;  7680 [SYN] Seq=0 Win=64240 Len=0 MSS=1460 WS=256 SACK_PERM</t>
  </si>
  <si>
    <t>Publish Message (id=7855) [test/QoS/]</t>
  </si>
  <si>
    <t>Publish Ack (id=7855)</t>
  </si>
  <si>
    <t>Publish Message (id=1) [test/QoS/]</t>
  </si>
  <si>
    <t>63543  &gt;  1883 [ACK] Seq=81 Ack=33 Win=1051136 Len=0</t>
  </si>
  <si>
    <t>Publish Ack (id=1)</t>
  </si>
  <si>
    <t>1883  &gt;  63543 [ACK] Seq=33 Ack=85 Win=64256 Len=0</t>
  </si>
  <si>
    <t>Publish Message (id=2) [test/QoS/]</t>
  </si>
  <si>
    <t>Publish Ack (id=2)</t>
  </si>
  <si>
    <t>1883  &gt;  63543 [ACK] Seq=52 Ack=89 Win=64256 Len=0</t>
  </si>
  <si>
    <t>Publish Message (id=7856) [test/QoS/]</t>
  </si>
  <si>
    <t>1883  &gt;  63543 [ACK] Seq=52 Ack=108 Win=64256 Len=0</t>
  </si>
  <si>
    <t>Publish Ack (id=7856)</t>
  </si>
  <si>
    <t>Publish Message (id=3) [test/QoS/]</t>
  </si>
  <si>
    <t>63543  &gt;  1883 [ACK] Seq=108 Ack=75 Win=1050880 Len=0</t>
  </si>
  <si>
    <t>Publish Ack (id=3)</t>
  </si>
  <si>
    <t>1883  &gt;  63543 [ACK] Seq=75 Ack=112 Win=64256 Len=0</t>
  </si>
  <si>
    <t>Publish Message (id=4) [test/QoS/]</t>
  </si>
  <si>
    <t>Publish Ack (id=4)</t>
  </si>
  <si>
    <t>1883  &gt;  63543 [ACK] Seq=94 Ack=116 Win=64256 Len=0</t>
  </si>
  <si>
    <t>Publish Message (id=7857) [test/QoS/]</t>
  </si>
  <si>
    <t>1883  &gt;  63543 [ACK] Seq=94 Ack=135 Win=64256 Len=0</t>
  </si>
  <si>
    <t>Publish Ack (id=7857)</t>
  </si>
  <si>
    <t>Publish Message (id=5) [test/QoS/]</t>
  </si>
  <si>
    <t>63543  &gt;  1883 [ACK] Seq=135 Ack=117 Win=1050880 Len=0</t>
  </si>
  <si>
    <t>Publish Ack (id=5)</t>
  </si>
  <si>
    <t>1883  &gt;  63543 [ACK] Seq=117 Ack=139 Win=64256 Len=0</t>
  </si>
  <si>
    <t>Publish Message (id=6) [test/QoS/]</t>
  </si>
  <si>
    <t>Publish Ack (id=6)</t>
  </si>
  <si>
    <t>1883  &gt;  63543 [ACK] Seq=136 Ack=143 Win=64256 Len=0</t>
  </si>
  <si>
    <t>Publish Message (id=7858) [test/QoS/]</t>
  </si>
  <si>
    <t>1883  &gt;  63543 [ACK] Seq=136 Ack=162 Win=64256 Len=0</t>
  </si>
  <si>
    <t>Publish Ack (id=7858)</t>
  </si>
  <si>
    <t>Publish Message (id=7) [test/QoS/]</t>
  </si>
  <si>
    <t>63543  &gt;  1883 [ACK] Seq=162 Ack=159 Win=1050880 Len=0</t>
  </si>
  <si>
    <t>Publish Ack (id=7)</t>
  </si>
  <si>
    <t>1883  &gt;  63543 [ACK] Seq=159 Ack=166 Win=64256 Len=0</t>
  </si>
  <si>
    <t>Publish Message (id=8) [test/QoS/]</t>
  </si>
  <si>
    <t>Publish Ack (id=8)</t>
  </si>
  <si>
    <t>1883  &gt;  63543 [ACK] Seq=178 Ack=170 Win=64256 Len=0</t>
  </si>
  <si>
    <t>Publish Message (id=7859) [test/QoS/]</t>
  </si>
  <si>
    <t>1883  &gt;  63543 [ACK] Seq=178 Ack=189 Win=64256 Len=0</t>
  </si>
  <si>
    <t>Publish Ack (id=7859)</t>
  </si>
  <si>
    <t>Publish Message (id=9) [test/QoS/]</t>
  </si>
  <si>
    <t>63543  &gt;  1883 [ACK] Seq=189 Ack=201 Win=1050880 Len=0</t>
  </si>
  <si>
    <t>Publish Ack (id=9)</t>
  </si>
  <si>
    <t>1883  &gt;  63543 [ACK] Seq=201 Ack=193 Win=64256 Len=0</t>
  </si>
  <si>
    <t>Publish Message (id=10) [test/QoS/]</t>
  </si>
  <si>
    <t>Publish Ack (id=10)</t>
  </si>
  <si>
    <t>1883  &gt;  63543 [ACK] Seq=220 Ack=197 Win=64256 Len=0</t>
  </si>
  <si>
    <t>Publish Message (id=7860) [test/QoS/]</t>
  </si>
  <si>
    <t>1883  &gt;  63543 [ACK] Seq=220 Ack=216 Win=64256 Len=0</t>
  </si>
  <si>
    <t>Publish Ack (id=7860)</t>
  </si>
  <si>
    <t>Publish Message (id=11) [test/QoS/]</t>
  </si>
  <si>
    <t>63543  &gt;  1883 [ACK] Seq=216 Ack=243 Win=1050880 Len=0</t>
  </si>
  <si>
    <t>Publish Ack (id=11)</t>
  </si>
  <si>
    <t>1883  &gt;  63543 [ACK] Seq=243 Ack=220 Win=64256 Len=0</t>
  </si>
  <si>
    <t>Publish Message (id=12) [test/QoS/]</t>
  </si>
  <si>
    <t>Publish Ack (id=12)</t>
  </si>
  <si>
    <t>1883  &gt;  63543 [ACK] Seq=262 Ack=224 Win=64256 Len=0</t>
  </si>
  <si>
    <t>Publish Message (id=7861) [test/QoS/]</t>
  </si>
  <si>
    <t>1883  &gt;  63543 [ACK] Seq=262 Ack=243 Win=64256 Len=0</t>
  </si>
  <si>
    <t>Publish Ack (id=7861)</t>
  </si>
  <si>
    <t>Publish Message (id=13) [test/QoS/]</t>
  </si>
  <si>
    <t>63543  &gt;  1883 [ACK] Seq=243 Ack=285 Win=1050880 Len=0</t>
  </si>
  <si>
    <t>Publish Ack (id=13)</t>
  </si>
  <si>
    <t>1883  &gt;  63543 [ACK] Seq=285 Ack=247 Win=64256 Len=0</t>
  </si>
  <si>
    <t>Publish Message (id=14) [test/QoS/]</t>
  </si>
  <si>
    <t>Publish Ack (id=14)</t>
  </si>
  <si>
    <t>1883  &gt;  63543 [ACK] Seq=304 Ack=251 Win=64256 Len=0</t>
  </si>
  <si>
    <t>63545  &gt;  80 [SYN] Seq=0 Win=64240 Len=0 MSS=1460 WS=256 SACK_PERM</t>
  </si>
  <si>
    <t>Publish Message (id=7862) [test/QoS/]</t>
  </si>
  <si>
    <t>1883  &gt;  63543 [ACK] Seq=304 Ack=270 Win=64256 Len=0</t>
  </si>
  <si>
    <t>Publish Ack (id=7862)</t>
  </si>
  <si>
    <t>Publish Message (id=15) [test/QoS/]</t>
  </si>
  <si>
    <t>63543  &gt;  1883 [ACK] Seq=270 Ack=327 Win=1050624 Len=0</t>
  </si>
  <si>
    <t>Publish Ack (id=15)</t>
  </si>
  <si>
    <t>1883  &gt;  63543 [ACK] Seq=327 Ack=274 Win=64256 Len=0</t>
  </si>
  <si>
    <t>80  &gt;  63545 [RST, ACK] Seq=1 Ack=1 Win=0 Len=0</t>
  </si>
  <si>
    <t>Publish Message (id=16) [test/QoS/]</t>
  </si>
  <si>
    <t>Publish Ack (id=16)</t>
  </si>
  <si>
    <t>1883  &gt;  63543 [ACK] Seq=346 Ack=278 Win=64256 Len=0</t>
  </si>
  <si>
    <t>[TCP Port numbers reused] 63545  &gt;  80 [SYN] Seq=0 Win=64240 Len=0 MSS=1460 WS=256 SACK_PERM</t>
  </si>
  <si>
    <t>Publish Message (id=7863) [test/QoS/]</t>
  </si>
  <si>
    <t>1883  &gt;  63543 [ACK] Seq=346 Ack=297 Win=64256 Len=0</t>
  </si>
  <si>
    <t>Publish Ack (id=7863)</t>
  </si>
  <si>
    <t>Publish Message (id=17) [test/QoS/]</t>
  </si>
  <si>
    <t>63543  &gt;  1883 [ACK] Seq=297 Ack=369 Win=1050624 Len=0</t>
  </si>
  <si>
    <t>Publish Ack (id=17)</t>
  </si>
  <si>
    <t>1883  &gt;  63543 [ACK] Seq=369 Ack=301 Win=64256 Len=0</t>
  </si>
  <si>
    <t>Publish Message (id=18) [test/QoS/]</t>
  </si>
  <si>
    <t>Publish Ack (id=18)</t>
  </si>
  <si>
    <t>1883  &gt;  63543 [ACK] Seq=388 Ack=305 Win=64256 Len=0</t>
  </si>
  <si>
    <t>Publish Message (id=7864) [test/QoS/]</t>
  </si>
  <si>
    <t>1883  &gt;  63543 [ACK] Seq=388 Ack=324 Win=64256 Len=0</t>
  </si>
  <si>
    <t>Publish Ack (id=7864)</t>
  </si>
  <si>
    <t>Publish Message (id=19) [test/QoS/]</t>
  </si>
  <si>
    <t>63543  &gt;  1883 [ACK] Seq=324 Ack=411 Win=1050624 Len=0</t>
  </si>
  <si>
    <t>Publish Ack (id=19)</t>
  </si>
  <si>
    <t>1883  &gt;  63543 [ACK] Seq=411 Ack=328 Win=64256 Len=0</t>
  </si>
  <si>
    <t>Publish Message (id=20) [test/QoS/]</t>
  </si>
  <si>
    <t>Publish Ack (id=20)</t>
  </si>
  <si>
    <t>1883  &gt;  63543 [ACK] Seq=430 Ack=332 Win=64256 Len=0</t>
  </si>
  <si>
    <t>Publish Message (id=7865) [test/QoS/]</t>
  </si>
  <si>
    <t>1883  &gt;  63543 [ACK] Seq=430 Ack=351 Win=64256 Len=0</t>
  </si>
  <si>
    <t>Publish Ack (id=7865)</t>
  </si>
  <si>
    <t>Publish Message (id=21) [test/QoS/]</t>
  </si>
  <si>
    <t>63543  &gt;  1883 [ACK] Seq=351 Ack=453 Win=1050624 Len=0</t>
  </si>
  <si>
    <t>Publish Ack (id=21)</t>
  </si>
  <si>
    <t>1883  &gt;  63543 [ACK] Seq=453 Ack=355 Win=64256 Len=0</t>
  </si>
  <si>
    <t>Publish Message (id=22) [test/QoS/]</t>
  </si>
  <si>
    <t>Publish Ack (id=22)</t>
  </si>
  <si>
    <t>1883  &gt;  63543 [ACK] Seq=472 Ack=359 Win=64256 Len=0</t>
  </si>
  <si>
    <t>Publish Message (id=7866) [test/QoS/]</t>
  </si>
  <si>
    <t>1883  &gt;  63543 [ACK] Seq=472 Ack=378 Win=64256 Len=0</t>
  </si>
  <si>
    <t>Publish Ack (id=7866)</t>
  </si>
  <si>
    <t>Publish Message (id=23) [test/QoS/]</t>
  </si>
  <si>
    <t>63543  &gt;  1883 [ACK] Seq=378 Ack=495 Win=1050624 Len=0</t>
  </si>
  <si>
    <t>Publish Ack (id=23)</t>
  </si>
  <si>
    <t>1883  &gt;  63543 [ACK] Seq=495 Ack=382 Win=64256 Len=0</t>
  </si>
  <si>
    <t>Publish Message (id=24) [test/QoS/]</t>
  </si>
  <si>
    <t>Publish Ack (id=24)</t>
  </si>
  <si>
    <t>1883  &gt;  63543 [ACK] Seq=514 Ack=386 Win=64256 Len=0</t>
  </si>
  <si>
    <t>Publish Message (id=7867) [test/QoS/]</t>
  </si>
  <si>
    <t>1883  &gt;  63543 [ACK] Seq=514 Ack=405 Win=64256 Len=0</t>
  </si>
  <si>
    <t>Publish Ack (id=7867)</t>
  </si>
  <si>
    <t>Publish Message (id=25) [test/QoS/]</t>
  </si>
  <si>
    <t>63543  &gt;  1883 [ACK] Seq=405 Ack=537 Win=1050624 Len=0</t>
  </si>
  <si>
    <t>Publish Ack (id=25)</t>
  </si>
  <si>
    <t>1883  &gt;  63543 [ACK] Seq=537 Ack=409 Win=64256 Len=0</t>
  </si>
  <si>
    <t>Publish Message (id=26) [test/QoS/]</t>
  </si>
  <si>
    <t>Publish Ack (id=26)</t>
  </si>
  <si>
    <t>1883  &gt;  63543 [ACK] Seq=556 Ack=413 Win=64256 Len=0</t>
  </si>
  <si>
    <t>Publish Message (id=7868) [test/QoS/]</t>
  </si>
  <si>
    <t>1883  &gt;  63543 [ACK] Seq=556 Ack=432 Win=64256 Len=0</t>
  </si>
  <si>
    <t>Publish Ack (id=7868)</t>
  </si>
  <si>
    <t>Publish Message (id=27) [test/QoS/]</t>
  </si>
  <si>
    <t>63543  &gt;  1883 [ACK] Seq=432 Ack=579 Win=1050368 Len=0</t>
  </si>
  <si>
    <t>Publish Ack (id=27)</t>
  </si>
  <si>
    <t>1883  &gt;  63543 [ACK] Seq=579 Ack=436 Win=64256 Len=0</t>
  </si>
  <si>
    <t>Publish Message (id=28) [test/QoS/]</t>
  </si>
  <si>
    <t>Publish Ack (id=28)</t>
  </si>
  <si>
    <t>1883  &gt;  63543 [ACK] Seq=598 Ack=440 Win=64256 Len=0</t>
  </si>
  <si>
    <t>Publish Message (id=7869) [test/QoS/]</t>
  </si>
  <si>
    <t>1883  &gt;  63543 [ACK] Seq=598 Ack=459 Win=64256 Len=0</t>
  </si>
  <si>
    <t>Publish Ack (id=7869)</t>
  </si>
  <si>
    <t>Publish Message (id=29) [test/QoS/]</t>
  </si>
  <si>
    <t>63543  &gt;  1883 [ACK] Seq=459 Ack=621 Win=1050368 Len=0</t>
  </si>
  <si>
    <t>Publish Ack (id=29)</t>
  </si>
  <si>
    <t>1883  &gt;  63543 [ACK] Seq=621 Ack=463 Win=64256 Len=0</t>
  </si>
  <si>
    <t>Publish Message (id=30) [test/QoS/]</t>
  </si>
  <si>
    <t>Publish Ack (id=30)</t>
  </si>
  <si>
    <t>1883  &gt;  63543 [ACK] Seq=640 Ack=467 Win=64256 Len=0</t>
  </si>
  <si>
    <t>Publish Message (id=7870) [test/QoS/]</t>
  </si>
  <si>
    <t>1883  &gt;  63543 [ACK] Seq=640 Ack=486 Win=64256 Len=0</t>
  </si>
  <si>
    <t>Publish Ack (id=7870)</t>
  </si>
  <si>
    <t>Publish Message (id=31) [test/QoS/]</t>
  </si>
  <si>
    <t>63543  &gt;  1883 [ACK] Seq=486 Ack=663 Win=1050368 Len=0</t>
  </si>
  <si>
    <t>Publish Ack (id=31)</t>
  </si>
  <si>
    <t>1883  &gt;  63543 [ACK] Seq=663 Ack=490 Win=64256 Len=0</t>
  </si>
  <si>
    <t>Publish Message (id=32) [test/QoS/]</t>
  </si>
  <si>
    <t>Publish Ack (id=32)</t>
  </si>
  <si>
    <t>1883  &gt;  63543 [ACK] Seq=682 Ack=494 Win=64256 Len=0</t>
  </si>
  <si>
    <t>Publish Message (id=7871) [test/QoS/]</t>
  </si>
  <si>
    <t>1883  &gt;  63543 [ACK] Seq=682 Ack=513 Win=64256 Len=0</t>
  </si>
  <si>
    <t>Publish Ack (id=7871)</t>
  </si>
  <si>
    <t>Publish Message (id=33) [test/QoS/]</t>
  </si>
  <si>
    <t>63543  &gt;  1883 [ACK] Seq=513 Ack=705 Win=1050368 Len=0</t>
  </si>
  <si>
    <t>Publish Ack (id=33)</t>
  </si>
  <si>
    <t>1883  &gt;  63543 [ACK] Seq=705 Ack=517 Win=64256 Len=0</t>
  </si>
  <si>
    <t>Publish Message (id=34) [test/QoS/]</t>
  </si>
  <si>
    <t>Publish Ack (id=34)</t>
  </si>
  <si>
    <t>1883  &gt;  63543 [ACK] Seq=724 Ack=521 Win=64256 Len=0</t>
  </si>
  <si>
    <t>Publish Message (id=7872) [test/QoS/]</t>
  </si>
  <si>
    <t>1883  &gt;  63543 [ACK] Seq=724 Ack=540 Win=64256 Len=0</t>
  </si>
  <si>
    <t>Publish Ack (id=7872)</t>
  </si>
  <si>
    <t>Publish Message (id=35) [test/QoS/]</t>
  </si>
  <si>
    <t>63543  &gt;  1883 [ACK] Seq=540 Ack=747 Win=1050368 Len=0</t>
  </si>
  <si>
    <t>Publish Ack (id=35)</t>
  </si>
  <si>
    <t>1883  &gt;  63543 [ACK] Seq=747 Ack=544 Win=64256 Len=0</t>
  </si>
  <si>
    <t>Publish Message (id=36) [test/QoS/]</t>
  </si>
  <si>
    <t>Publish Ack (id=36)</t>
  </si>
  <si>
    <t>1883  &gt;  63543 [ACK] Seq=766 Ack=548 Win=64256 Len=0</t>
  </si>
  <si>
    <t>Publish Message (id=7873) [test/QoS/]</t>
  </si>
  <si>
    <t>1883  &gt;  63543 [ACK] Seq=766 Ack=567 Win=64256 Len=0</t>
  </si>
  <si>
    <t>Publish Ack (id=7873)</t>
  </si>
  <si>
    <t>Publish Message (id=37) [test/QoS/]</t>
  </si>
  <si>
    <t>63543  &gt;  1883 [ACK] Seq=567 Ack=789 Win=1050368 Len=0</t>
  </si>
  <si>
    <t>Publish Ack (id=37)</t>
  </si>
  <si>
    <t>1883  &gt;  63543 [ACK] Seq=789 Ack=571 Win=64256 Len=0</t>
  </si>
  <si>
    <t>63546  &gt;  80 [SYN] Seq=0 Win=64240 Len=0 MSS=1460 WS=256 SACK_PERM</t>
  </si>
  <si>
    <t>80  &gt;  63546 [RST, ACK] Seq=1 Ack=1 Win=0 Len=0</t>
  </si>
  <si>
    <t>Publish Message (id=38) [test/QoS/]</t>
  </si>
  <si>
    <t>Publish Ack (id=38)</t>
  </si>
  <si>
    <t>1883  &gt;  63543 [ACK] Seq=808 Ack=575 Win=64256 Len=0</t>
  </si>
  <si>
    <t>[TCP Port numbers reused] 63546  &gt;  80 [SYN] Seq=0 Win=64240 Len=0 MSS=1460 WS=256 SACK_PERM</t>
  </si>
  <si>
    <t>Publish Message (id=7874) [test/QoS/]</t>
  </si>
  <si>
    <t>1883  &gt;  63543 [ACK] Seq=808 Ack=594 Win=64256 Len=0</t>
  </si>
  <si>
    <t>Publish Ack (id=7874)</t>
  </si>
  <si>
    <t>Publish Message (id=39) [test/QoS/]</t>
  </si>
  <si>
    <t>63543  &gt;  1883 [ACK] Seq=594 Ack=831 Win=1050368 Len=0</t>
  </si>
  <si>
    <t>Publish Ack (id=39)</t>
  </si>
  <si>
    <t>1883  &gt;  63543 [ACK] Seq=831 Ack=598 Win=64256 Len=0</t>
  </si>
  <si>
    <t>Publish Message (id=40) [test/QoS/]</t>
  </si>
  <si>
    <t>Publish Ack (id=40)</t>
  </si>
  <si>
    <t>1883  &gt;  63543 [ACK] Seq=850 Ack=602 Win=64256 Len=0</t>
  </si>
  <si>
    <t>63547  &gt;  80 [SYN] Seq=0 Win=64240 Len=0 MSS=1460 WS=256 SACK_PERM</t>
  </si>
  <si>
    <t>80  &gt;  63547 [RST, ACK] Seq=1 Ack=1 Win=0 Len=0</t>
  </si>
  <si>
    <t>[TCP Port numbers reused] 63547  &gt;  80 [SYN] Seq=0 Win=64240 Len=0 MSS=1460 WS=256 SACK_PERM</t>
  </si>
  <si>
    <t>36.91.231.164</t>
  </si>
  <si>
    <t>TLSv1.2</t>
  </si>
  <si>
    <t>Application Data</t>
  </si>
  <si>
    <t>63515  &gt;  443 [ACK] Seq=1 Ack=47 Win=1019 Len=0</t>
  </si>
  <si>
    <t>10.10.202.11</t>
  </si>
  <si>
    <t>63548  &gt;  7680 [SYN] Seq=0 Win=64240 Len=0 MSS=1460 WS=256 SACK_PERM</t>
  </si>
  <si>
    <t>10.80.3.43</t>
  </si>
  <si>
    <t>63549  &gt;  7680 [SYN] Seq=0 Win=64240 Len=0 MSS=1460 WS=256 SACK_PERM</t>
  </si>
  <si>
    <t>[TCP Retransmission] 63548  &gt;  7680 [SYN] Seq=0 Win=64240 Len=0 MSS=1460 WS=256 SACK_PERM</t>
  </si>
  <si>
    <t>[TCP Retransmission] 63549  &gt;  7680 [SYN] Seq=0 Win=64240 Len=0 MSS=1460 WS=256 SACK_PERM</t>
  </si>
  <si>
    <t>10.180.14.255</t>
  </si>
  <si>
    <t>63550  &gt;  7680 [SYN] Seq=0 Win=64240 Len=0 MSS=1460 WS=256 SACK_PERM</t>
  </si>
  <si>
    <t>[TCP Retransmission] 63550  &gt;  7680 [SYN] Seq=0 Win=64240 Len=0 MSS=1460 WS=256 SACK_PERM</t>
  </si>
  <si>
    <t>Encrypted Alert</t>
  </si>
  <si>
    <t>443  &gt;  63515 [FIN, ACK] Seq=78 Ack=1 Win=124 Len=0</t>
  </si>
  <si>
    <t>63515  &gt;  443 [ACK] Seq=1 Ack=79 Win=1019 Len=0</t>
  </si>
  <si>
    <t>63551  &gt;  80 [SYN] Seq=0 Win=64240 Len=0 MSS=1460 WS=256 SACK_PERM</t>
  </si>
  <si>
    <t>80  &gt;  63551 [RST, ACK] Seq=1 Ack=1 Win=0 Len=0</t>
  </si>
  <si>
    <t>[TCP Port numbers reused] 63551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</si>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</sst>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582900</xdr:colOff>
      <xdr:row>294</xdr:row>
      <xdr:rowOff>26276</xdr:rowOff>
    </xdr:from>
    <xdr:to>
      <xdr:col>7</xdr:col>
      <xdr:colOff>5870014</xdr:colOff>
      <xdr:row>322</xdr:row>
      <xdr:rowOff>44904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2936E-AF81-48B6-E4C8-2FB040A0B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4659" y="54102000"/>
          <a:ext cx="7704493" cy="5168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E120-2ADA-442A-8518-8C64014D19EE}">
  <dimension ref="A1:M305"/>
  <sheetViews>
    <sheetView tabSelected="1" topLeftCell="G293" zoomScale="97" workbookViewId="0">
      <selection activeCell="K310" sqref="K310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0.58545999999999998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0.58931599999999995</v>
      </c>
      <c r="C3" t="s">
        <v>9</v>
      </c>
      <c r="D3" t="s">
        <v>8</v>
      </c>
      <c r="E3" t="s">
        <v>10</v>
      </c>
      <c r="F3">
        <v>60</v>
      </c>
      <c r="G3">
        <v>3.8560000000000001E-3</v>
      </c>
      <c r="H3" t="s">
        <v>12</v>
      </c>
      <c r="J3">
        <f>ROUNDUP(G3,4)</f>
        <v>3.8999999999999998E-3</v>
      </c>
    </row>
    <row r="4" spans="1:10" x14ac:dyDescent="0.3">
      <c r="A4">
        <v>4</v>
      </c>
      <c r="B4">
        <v>0.87829500000000005</v>
      </c>
      <c r="C4" t="s">
        <v>8</v>
      </c>
      <c r="D4" t="s">
        <v>13</v>
      </c>
      <c r="E4" t="s">
        <v>10</v>
      </c>
      <c r="F4">
        <v>66</v>
      </c>
      <c r="G4">
        <v>0.28897899999999999</v>
      </c>
      <c r="H4" t="s">
        <v>14</v>
      </c>
      <c r="J4">
        <f t="shared" ref="J4:J67" si="0">ROUNDUP(G4,4)</f>
        <v>0.28899999999999998</v>
      </c>
    </row>
    <row r="5" spans="1:10" x14ac:dyDescent="0.3">
      <c r="A5">
        <v>5</v>
      </c>
      <c r="B5">
        <v>0.87861500000000003</v>
      </c>
      <c r="C5" t="s">
        <v>8</v>
      </c>
      <c r="D5" t="s">
        <v>15</v>
      </c>
      <c r="E5" t="s">
        <v>10</v>
      </c>
      <c r="F5">
        <v>66</v>
      </c>
      <c r="G5">
        <v>3.2000000000000003E-4</v>
      </c>
      <c r="H5" t="s">
        <v>16</v>
      </c>
      <c r="J5">
        <f t="shared" si="0"/>
        <v>3.9999999999999996E-4</v>
      </c>
    </row>
    <row r="6" spans="1:10" x14ac:dyDescent="0.3">
      <c r="A6">
        <v>6</v>
      </c>
      <c r="B6">
        <v>1.097375</v>
      </c>
      <c r="C6" t="s">
        <v>8</v>
      </c>
      <c r="D6" t="s">
        <v>9</v>
      </c>
      <c r="E6" t="s">
        <v>10</v>
      </c>
      <c r="F6">
        <v>66</v>
      </c>
      <c r="G6">
        <v>0.21876000000000001</v>
      </c>
      <c r="H6" t="s">
        <v>17</v>
      </c>
      <c r="J6">
        <f t="shared" si="0"/>
        <v>0.21879999999999999</v>
      </c>
    </row>
    <row r="7" spans="1:10" x14ac:dyDescent="0.3">
      <c r="A7">
        <v>7</v>
      </c>
      <c r="B7">
        <v>1.1199490000000001</v>
      </c>
      <c r="C7" t="s">
        <v>9</v>
      </c>
      <c r="D7" t="s">
        <v>8</v>
      </c>
      <c r="E7" t="s">
        <v>10</v>
      </c>
      <c r="F7">
        <v>60</v>
      </c>
      <c r="G7">
        <v>2.2574E-2</v>
      </c>
      <c r="H7" t="s">
        <v>12</v>
      </c>
      <c r="J7">
        <f t="shared" si="0"/>
        <v>2.2599999999999999E-2</v>
      </c>
    </row>
    <row r="8" spans="1:10" x14ac:dyDescent="0.3">
      <c r="A8">
        <v>8</v>
      </c>
      <c r="B8">
        <v>1.230019</v>
      </c>
      <c r="C8" t="s">
        <v>8</v>
      </c>
      <c r="D8" t="s">
        <v>18</v>
      </c>
      <c r="E8" t="s">
        <v>10</v>
      </c>
      <c r="F8">
        <v>66</v>
      </c>
      <c r="G8">
        <v>0.11007</v>
      </c>
      <c r="H8" t="s">
        <v>19</v>
      </c>
      <c r="J8">
        <f t="shared" si="0"/>
        <v>0.1101</v>
      </c>
    </row>
    <row r="9" spans="1:10" x14ac:dyDescent="0.3">
      <c r="A9">
        <v>9</v>
      </c>
      <c r="B9">
        <v>1.2304310000000001</v>
      </c>
      <c r="C9" t="s">
        <v>18</v>
      </c>
      <c r="D9" t="s">
        <v>8</v>
      </c>
      <c r="E9" t="s">
        <v>10</v>
      </c>
      <c r="F9">
        <v>66</v>
      </c>
      <c r="G9">
        <v>4.1199999999999999E-4</v>
      </c>
      <c r="H9" t="s">
        <v>20</v>
      </c>
      <c r="J9">
        <f t="shared" si="0"/>
        <v>5.0000000000000001E-4</v>
      </c>
    </row>
    <row r="10" spans="1:10" x14ac:dyDescent="0.3">
      <c r="A10">
        <v>10</v>
      </c>
      <c r="B10">
        <v>1.2305060000000001</v>
      </c>
      <c r="C10" t="s">
        <v>8</v>
      </c>
      <c r="D10" t="s">
        <v>18</v>
      </c>
      <c r="E10" t="s">
        <v>10</v>
      </c>
      <c r="F10">
        <v>54</v>
      </c>
      <c r="G10">
        <v>7.4999999999999993E-5</v>
      </c>
      <c r="H10" t="s">
        <v>21</v>
      </c>
      <c r="J10">
        <f t="shared" si="0"/>
        <v>1E-4</v>
      </c>
    </row>
    <row r="11" spans="1:10" x14ac:dyDescent="0.3">
      <c r="A11">
        <v>11</v>
      </c>
      <c r="B11">
        <v>1.2326429999999999</v>
      </c>
      <c r="C11" t="s">
        <v>8</v>
      </c>
      <c r="D11" t="s">
        <v>18</v>
      </c>
      <c r="E11" t="s">
        <v>22</v>
      </c>
      <c r="F11">
        <v>99</v>
      </c>
      <c r="G11">
        <v>2.137E-3</v>
      </c>
      <c r="H11" t="s">
        <v>23</v>
      </c>
      <c r="J11">
        <f t="shared" si="0"/>
        <v>2.1999999999999997E-3</v>
      </c>
    </row>
    <row r="12" spans="1:10" x14ac:dyDescent="0.3">
      <c r="A12">
        <v>12</v>
      </c>
      <c r="B12">
        <v>1.2372570000000001</v>
      </c>
      <c r="C12" t="s">
        <v>18</v>
      </c>
      <c r="D12" t="s">
        <v>8</v>
      </c>
      <c r="E12" t="s">
        <v>10</v>
      </c>
      <c r="F12">
        <v>60</v>
      </c>
      <c r="G12">
        <v>4.614E-3</v>
      </c>
      <c r="H12" t="s">
        <v>24</v>
      </c>
      <c r="J12">
        <f t="shared" si="0"/>
        <v>4.7000000000000002E-3</v>
      </c>
    </row>
    <row r="13" spans="1:10" x14ac:dyDescent="0.3">
      <c r="A13">
        <v>13</v>
      </c>
      <c r="B13">
        <v>1.2372570000000001</v>
      </c>
      <c r="C13" t="s">
        <v>18</v>
      </c>
      <c r="D13" t="s">
        <v>8</v>
      </c>
      <c r="E13" t="s">
        <v>22</v>
      </c>
      <c r="F13">
        <v>60</v>
      </c>
      <c r="G13">
        <v>0</v>
      </c>
      <c r="H13" t="s">
        <v>25</v>
      </c>
      <c r="J13">
        <f t="shared" si="0"/>
        <v>0</v>
      </c>
    </row>
    <row r="14" spans="1:10" x14ac:dyDescent="0.3">
      <c r="A14">
        <v>14</v>
      </c>
      <c r="B14">
        <v>1.2760469999999999</v>
      </c>
      <c r="C14" t="s">
        <v>8</v>
      </c>
      <c r="D14" t="s">
        <v>18</v>
      </c>
      <c r="E14" t="s">
        <v>22</v>
      </c>
      <c r="F14">
        <v>70</v>
      </c>
      <c r="G14">
        <v>3.8789999999999998E-2</v>
      </c>
      <c r="H14" t="s">
        <v>26</v>
      </c>
      <c r="J14">
        <f t="shared" si="0"/>
        <v>3.8800000000000001E-2</v>
      </c>
    </row>
    <row r="15" spans="1:10" x14ac:dyDescent="0.3">
      <c r="A15">
        <v>15</v>
      </c>
      <c r="B15">
        <v>1.2805219999999999</v>
      </c>
      <c r="C15" t="s">
        <v>18</v>
      </c>
      <c r="D15" t="s">
        <v>8</v>
      </c>
      <c r="E15" t="s">
        <v>22</v>
      </c>
      <c r="F15">
        <v>60</v>
      </c>
      <c r="G15">
        <v>4.4749999999999998E-3</v>
      </c>
      <c r="H15" t="s">
        <v>27</v>
      </c>
      <c r="J15">
        <f t="shared" si="0"/>
        <v>4.5000000000000005E-3</v>
      </c>
    </row>
    <row r="16" spans="1:10" x14ac:dyDescent="0.3">
      <c r="A16">
        <v>16</v>
      </c>
      <c r="B16">
        <v>1.3338829999999999</v>
      </c>
      <c r="C16" t="s">
        <v>8</v>
      </c>
      <c r="D16" t="s">
        <v>18</v>
      </c>
      <c r="E16" t="s">
        <v>10</v>
      </c>
      <c r="F16">
        <v>54</v>
      </c>
      <c r="G16">
        <v>5.3360999999999999E-2</v>
      </c>
      <c r="H16" t="s">
        <v>28</v>
      </c>
      <c r="J16">
        <f t="shared" si="0"/>
        <v>5.3400000000000003E-2</v>
      </c>
    </row>
    <row r="17" spans="1:10" x14ac:dyDescent="0.3">
      <c r="A17">
        <v>17</v>
      </c>
      <c r="B17">
        <v>1.6301909999999999</v>
      </c>
      <c r="C17" t="s">
        <v>8</v>
      </c>
      <c r="D17" t="s">
        <v>9</v>
      </c>
      <c r="E17" t="s">
        <v>10</v>
      </c>
      <c r="F17">
        <v>66</v>
      </c>
      <c r="G17">
        <v>0.29630800000000002</v>
      </c>
      <c r="H17" t="s">
        <v>17</v>
      </c>
      <c r="J17">
        <f t="shared" si="0"/>
        <v>0.2964</v>
      </c>
    </row>
    <row r="18" spans="1:10" x14ac:dyDescent="0.3">
      <c r="A18">
        <v>18</v>
      </c>
      <c r="B18">
        <v>1.708032</v>
      </c>
      <c r="C18" t="s">
        <v>9</v>
      </c>
      <c r="D18" t="s">
        <v>8</v>
      </c>
      <c r="E18" t="s">
        <v>10</v>
      </c>
      <c r="F18">
        <v>60</v>
      </c>
      <c r="G18">
        <v>7.7840999999999994E-2</v>
      </c>
      <c r="H18" t="s">
        <v>12</v>
      </c>
      <c r="J18">
        <f t="shared" si="0"/>
        <v>7.7899999999999997E-2</v>
      </c>
    </row>
    <row r="19" spans="1:10" x14ac:dyDescent="0.3">
      <c r="A19">
        <v>19</v>
      </c>
      <c r="B19">
        <v>1.8924989999999999</v>
      </c>
      <c r="C19" t="s">
        <v>8</v>
      </c>
      <c r="D19" t="s">
        <v>15</v>
      </c>
      <c r="E19" t="s">
        <v>10</v>
      </c>
      <c r="F19">
        <v>66</v>
      </c>
      <c r="G19">
        <v>0.18446699999999999</v>
      </c>
      <c r="H19" t="s">
        <v>29</v>
      </c>
      <c r="J19">
        <f t="shared" si="0"/>
        <v>0.1845</v>
      </c>
    </row>
    <row r="20" spans="1:10" x14ac:dyDescent="0.3">
      <c r="A20">
        <v>20</v>
      </c>
      <c r="B20">
        <v>1.8924989999999999</v>
      </c>
      <c r="C20" t="s">
        <v>8</v>
      </c>
      <c r="D20" t="s">
        <v>13</v>
      </c>
      <c r="E20" t="s">
        <v>10</v>
      </c>
      <c r="F20">
        <v>66</v>
      </c>
      <c r="G20">
        <v>0</v>
      </c>
      <c r="H20" t="s">
        <v>30</v>
      </c>
      <c r="J20">
        <f t="shared" si="0"/>
        <v>0</v>
      </c>
    </row>
    <row r="21" spans="1:10" x14ac:dyDescent="0.3">
      <c r="A21">
        <v>21</v>
      </c>
      <c r="B21">
        <v>1.8929560000000001</v>
      </c>
      <c r="C21" t="s">
        <v>8</v>
      </c>
      <c r="D21" t="s">
        <v>31</v>
      </c>
      <c r="E21" t="s">
        <v>10</v>
      </c>
      <c r="F21">
        <v>66</v>
      </c>
      <c r="G21">
        <v>4.57E-4</v>
      </c>
      <c r="H21" t="s">
        <v>32</v>
      </c>
      <c r="J21">
        <f t="shared" si="0"/>
        <v>5.0000000000000001E-4</v>
      </c>
    </row>
    <row r="22" spans="1:10" x14ac:dyDescent="0.3">
      <c r="A22">
        <v>23</v>
      </c>
      <c r="B22">
        <v>2.2177790000000002</v>
      </c>
      <c r="C22" t="s">
        <v>8</v>
      </c>
      <c r="D22" t="s">
        <v>9</v>
      </c>
      <c r="E22" t="s">
        <v>10</v>
      </c>
      <c r="F22">
        <v>66</v>
      </c>
      <c r="G22">
        <v>0.32482299999999997</v>
      </c>
      <c r="H22" t="s">
        <v>17</v>
      </c>
      <c r="J22">
        <f t="shared" si="0"/>
        <v>0.32489999999999997</v>
      </c>
    </row>
    <row r="23" spans="1:10" x14ac:dyDescent="0.3">
      <c r="A23">
        <v>24</v>
      </c>
      <c r="B23">
        <v>2.3250929999999999</v>
      </c>
      <c r="C23" t="s">
        <v>9</v>
      </c>
      <c r="D23" t="s">
        <v>8</v>
      </c>
      <c r="E23" t="s">
        <v>10</v>
      </c>
      <c r="F23">
        <v>60</v>
      </c>
      <c r="G23">
        <v>0.10731400000000001</v>
      </c>
      <c r="H23" t="s">
        <v>12</v>
      </c>
      <c r="J23">
        <f t="shared" si="0"/>
        <v>0.10740000000000001</v>
      </c>
    </row>
    <row r="24" spans="1:10" x14ac:dyDescent="0.3">
      <c r="A24">
        <v>25</v>
      </c>
      <c r="B24">
        <v>2.8406199999999999</v>
      </c>
      <c r="C24" t="s">
        <v>8</v>
      </c>
      <c r="D24" t="s">
        <v>9</v>
      </c>
      <c r="E24" t="s">
        <v>10</v>
      </c>
      <c r="F24">
        <v>66</v>
      </c>
      <c r="G24">
        <v>0.51552699999999996</v>
      </c>
      <c r="H24" t="s">
        <v>17</v>
      </c>
      <c r="J24">
        <f t="shared" si="0"/>
        <v>0.51559999999999995</v>
      </c>
    </row>
    <row r="25" spans="1:10" x14ac:dyDescent="0.3">
      <c r="A25">
        <v>26</v>
      </c>
      <c r="B25">
        <v>2.8448959999999999</v>
      </c>
      <c r="C25" t="s">
        <v>9</v>
      </c>
      <c r="D25" t="s">
        <v>8</v>
      </c>
      <c r="E25" t="s">
        <v>10</v>
      </c>
      <c r="F25">
        <v>60</v>
      </c>
      <c r="G25">
        <v>4.2760000000000003E-3</v>
      </c>
      <c r="H25" t="s">
        <v>12</v>
      </c>
      <c r="J25">
        <f t="shared" si="0"/>
        <v>4.3E-3</v>
      </c>
    </row>
    <row r="26" spans="1:10" x14ac:dyDescent="0.3">
      <c r="A26">
        <v>31</v>
      </c>
      <c r="B26">
        <v>2.901532</v>
      </c>
      <c r="C26" t="s">
        <v>8</v>
      </c>
      <c r="D26" t="s">
        <v>31</v>
      </c>
      <c r="E26" t="s">
        <v>10</v>
      </c>
      <c r="F26">
        <v>66</v>
      </c>
      <c r="G26">
        <v>5.6635999999999999E-2</v>
      </c>
      <c r="H26" t="s">
        <v>33</v>
      </c>
      <c r="J26">
        <f t="shared" si="0"/>
        <v>5.67E-2</v>
      </c>
    </row>
    <row r="27" spans="1:10" x14ac:dyDescent="0.3">
      <c r="A27">
        <v>32</v>
      </c>
      <c r="B27">
        <v>3.6537299999999999</v>
      </c>
      <c r="C27" t="s">
        <v>8</v>
      </c>
      <c r="D27" t="s">
        <v>18</v>
      </c>
      <c r="E27" t="s">
        <v>22</v>
      </c>
      <c r="F27">
        <v>73</v>
      </c>
      <c r="G27">
        <v>0.75219800000000003</v>
      </c>
      <c r="H27" t="s">
        <v>34</v>
      </c>
      <c r="J27">
        <f t="shared" si="0"/>
        <v>0.75219999999999998</v>
      </c>
    </row>
    <row r="28" spans="1:10" x14ac:dyDescent="0.3">
      <c r="A28">
        <v>33</v>
      </c>
      <c r="B28">
        <v>3.6595469999999999</v>
      </c>
      <c r="C28" t="s">
        <v>18</v>
      </c>
      <c r="D28" t="s">
        <v>8</v>
      </c>
      <c r="E28" t="s">
        <v>22</v>
      </c>
      <c r="F28">
        <v>60</v>
      </c>
      <c r="G28">
        <v>5.8170000000000001E-3</v>
      </c>
      <c r="H28" t="s">
        <v>35</v>
      </c>
      <c r="J28">
        <f t="shared" si="0"/>
        <v>5.8999999999999999E-3</v>
      </c>
    </row>
    <row r="29" spans="1:10" x14ac:dyDescent="0.3">
      <c r="A29">
        <v>34</v>
      </c>
      <c r="B29">
        <v>3.6598440000000001</v>
      </c>
      <c r="C29" t="s">
        <v>18</v>
      </c>
      <c r="D29" t="s">
        <v>8</v>
      </c>
      <c r="E29" t="s">
        <v>22</v>
      </c>
      <c r="F29">
        <v>73</v>
      </c>
      <c r="G29">
        <v>2.9700000000000001E-4</v>
      </c>
      <c r="H29" t="s">
        <v>36</v>
      </c>
      <c r="J29">
        <f t="shared" si="0"/>
        <v>3.0000000000000003E-4</v>
      </c>
    </row>
    <row r="30" spans="1:10" x14ac:dyDescent="0.3">
      <c r="A30">
        <v>35</v>
      </c>
      <c r="B30">
        <v>3.6598700000000002</v>
      </c>
      <c r="C30" t="s">
        <v>8</v>
      </c>
      <c r="D30" t="s">
        <v>18</v>
      </c>
      <c r="E30" t="s">
        <v>10</v>
      </c>
      <c r="F30">
        <v>54</v>
      </c>
      <c r="G30">
        <v>2.5999999999999998E-5</v>
      </c>
      <c r="H30" t="s">
        <v>37</v>
      </c>
      <c r="J30">
        <f t="shared" si="0"/>
        <v>1E-4</v>
      </c>
    </row>
    <row r="31" spans="1:10" x14ac:dyDescent="0.3">
      <c r="A31">
        <v>36</v>
      </c>
      <c r="B31">
        <v>3.6610499999999999</v>
      </c>
      <c r="C31" t="s">
        <v>8</v>
      </c>
      <c r="D31" t="s">
        <v>18</v>
      </c>
      <c r="E31" t="s">
        <v>22</v>
      </c>
      <c r="F31">
        <v>58</v>
      </c>
      <c r="G31">
        <v>1.1800000000000001E-3</v>
      </c>
      <c r="H31" t="s">
        <v>38</v>
      </c>
      <c r="J31">
        <f t="shared" si="0"/>
        <v>1.2000000000000001E-3</v>
      </c>
    </row>
    <row r="32" spans="1:10" x14ac:dyDescent="0.3">
      <c r="A32">
        <v>37</v>
      </c>
      <c r="B32">
        <v>3.705276</v>
      </c>
      <c r="C32" t="s">
        <v>18</v>
      </c>
      <c r="D32" t="s">
        <v>8</v>
      </c>
      <c r="E32" t="s">
        <v>10</v>
      </c>
      <c r="F32">
        <v>60</v>
      </c>
      <c r="G32">
        <v>4.4226000000000001E-2</v>
      </c>
      <c r="H32" t="s">
        <v>39</v>
      </c>
      <c r="J32">
        <f t="shared" si="0"/>
        <v>4.4300000000000006E-2</v>
      </c>
    </row>
    <row r="33" spans="1:10" x14ac:dyDescent="0.3">
      <c r="A33">
        <v>42</v>
      </c>
      <c r="B33">
        <v>3.899429</v>
      </c>
      <c r="C33" t="s">
        <v>8</v>
      </c>
      <c r="D33" t="s">
        <v>13</v>
      </c>
      <c r="E33" t="s">
        <v>10</v>
      </c>
      <c r="F33">
        <v>66</v>
      </c>
      <c r="G33">
        <v>0.19415299999999999</v>
      </c>
      <c r="H33" t="s">
        <v>30</v>
      </c>
      <c r="J33">
        <f t="shared" si="0"/>
        <v>0.19419999999999998</v>
      </c>
    </row>
    <row r="34" spans="1:10" x14ac:dyDescent="0.3">
      <c r="A34">
        <v>43</v>
      </c>
      <c r="B34">
        <v>3.9002279999999998</v>
      </c>
      <c r="C34" t="s">
        <v>8</v>
      </c>
      <c r="D34" t="s">
        <v>15</v>
      </c>
      <c r="E34" t="s">
        <v>10</v>
      </c>
      <c r="F34">
        <v>66</v>
      </c>
      <c r="G34">
        <v>7.9900000000000001E-4</v>
      </c>
      <c r="H34" t="s">
        <v>29</v>
      </c>
      <c r="J34">
        <f t="shared" si="0"/>
        <v>8.0000000000000004E-4</v>
      </c>
    </row>
    <row r="35" spans="1:10" x14ac:dyDescent="0.3">
      <c r="A35">
        <v>45</v>
      </c>
      <c r="B35">
        <v>4.4451710000000002</v>
      </c>
      <c r="C35" t="s">
        <v>18</v>
      </c>
      <c r="D35" t="s">
        <v>8</v>
      </c>
      <c r="E35" t="s">
        <v>22</v>
      </c>
      <c r="F35">
        <v>73</v>
      </c>
      <c r="G35">
        <v>0.54494299999999996</v>
      </c>
      <c r="H35" t="s">
        <v>40</v>
      </c>
      <c r="J35">
        <f t="shared" si="0"/>
        <v>0.54500000000000004</v>
      </c>
    </row>
    <row r="36" spans="1:10" x14ac:dyDescent="0.3">
      <c r="A36">
        <v>46</v>
      </c>
      <c r="B36">
        <v>4.4465659999999998</v>
      </c>
      <c r="C36" t="s">
        <v>8</v>
      </c>
      <c r="D36" t="s">
        <v>18</v>
      </c>
      <c r="E36" t="s">
        <v>22</v>
      </c>
      <c r="F36">
        <v>58</v>
      </c>
      <c r="G36">
        <v>1.395E-3</v>
      </c>
      <c r="H36" t="s">
        <v>41</v>
      </c>
      <c r="J36">
        <f t="shared" si="0"/>
        <v>1.4E-3</v>
      </c>
    </row>
    <row r="37" spans="1:10" x14ac:dyDescent="0.3">
      <c r="A37">
        <v>47</v>
      </c>
      <c r="B37">
        <v>4.4469620000000001</v>
      </c>
      <c r="C37" t="s">
        <v>18</v>
      </c>
      <c r="D37" t="s">
        <v>8</v>
      </c>
      <c r="E37" t="s">
        <v>10</v>
      </c>
      <c r="F37">
        <v>60</v>
      </c>
      <c r="G37">
        <v>3.9599999999999998E-4</v>
      </c>
      <c r="H37" t="s">
        <v>42</v>
      </c>
      <c r="J37">
        <f t="shared" si="0"/>
        <v>3.9999999999999996E-4</v>
      </c>
    </row>
    <row r="38" spans="1:10" x14ac:dyDescent="0.3">
      <c r="A38">
        <v>48</v>
      </c>
      <c r="B38">
        <v>4.9111349999999998</v>
      </c>
      <c r="C38" t="s">
        <v>8</v>
      </c>
      <c r="D38" t="s">
        <v>31</v>
      </c>
      <c r="E38" t="s">
        <v>10</v>
      </c>
      <c r="F38">
        <v>66</v>
      </c>
      <c r="G38">
        <v>0.464173</v>
      </c>
      <c r="H38" t="s">
        <v>33</v>
      </c>
      <c r="J38">
        <f t="shared" si="0"/>
        <v>0.4642</v>
      </c>
    </row>
    <row r="39" spans="1:10" x14ac:dyDescent="0.3">
      <c r="A39">
        <v>49</v>
      </c>
      <c r="B39">
        <v>5.4099180000000002</v>
      </c>
      <c r="C39" t="s">
        <v>8</v>
      </c>
      <c r="D39" t="s">
        <v>18</v>
      </c>
      <c r="E39" t="s">
        <v>22</v>
      </c>
      <c r="F39">
        <v>73</v>
      </c>
      <c r="G39">
        <v>0.49878299999999998</v>
      </c>
      <c r="H39" t="s">
        <v>43</v>
      </c>
      <c r="J39">
        <f t="shared" si="0"/>
        <v>0.49879999999999997</v>
      </c>
    </row>
    <row r="40" spans="1:10" x14ac:dyDescent="0.3">
      <c r="A40">
        <v>50</v>
      </c>
      <c r="B40">
        <v>5.4111760000000002</v>
      </c>
      <c r="C40" t="s">
        <v>18</v>
      </c>
      <c r="D40" t="s">
        <v>8</v>
      </c>
      <c r="E40" t="s">
        <v>10</v>
      </c>
      <c r="F40">
        <v>60</v>
      </c>
      <c r="G40">
        <v>1.258E-3</v>
      </c>
      <c r="H40" t="s">
        <v>44</v>
      </c>
      <c r="J40">
        <f t="shared" si="0"/>
        <v>1.2999999999999999E-3</v>
      </c>
    </row>
    <row r="41" spans="1:10" x14ac:dyDescent="0.3">
      <c r="A41">
        <v>51</v>
      </c>
      <c r="B41">
        <v>5.4158429999999997</v>
      </c>
      <c r="C41" t="s">
        <v>18</v>
      </c>
      <c r="D41" t="s">
        <v>8</v>
      </c>
      <c r="E41" t="s">
        <v>22</v>
      </c>
      <c r="F41">
        <v>60</v>
      </c>
      <c r="G41">
        <v>4.6670000000000001E-3</v>
      </c>
      <c r="H41" t="s">
        <v>45</v>
      </c>
      <c r="J41">
        <f t="shared" si="0"/>
        <v>4.7000000000000002E-3</v>
      </c>
    </row>
    <row r="42" spans="1:10" x14ac:dyDescent="0.3">
      <c r="A42">
        <v>52</v>
      </c>
      <c r="B42">
        <v>5.4163040000000002</v>
      </c>
      <c r="C42" t="s">
        <v>18</v>
      </c>
      <c r="D42" t="s">
        <v>8</v>
      </c>
      <c r="E42" t="s">
        <v>22</v>
      </c>
      <c r="F42">
        <v>73</v>
      </c>
      <c r="G42">
        <v>4.6099999999999998E-4</v>
      </c>
      <c r="H42" t="s">
        <v>46</v>
      </c>
      <c r="J42">
        <f t="shared" si="0"/>
        <v>5.0000000000000001E-4</v>
      </c>
    </row>
    <row r="43" spans="1:10" x14ac:dyDescent="0.3">
      <c r="A43">
        <v>53</v>
      </c>
      <c r="B43">
        <v>5.4163290000000002</v>
      </c>
      <c r="C43" t="s">
        <v>8</v>
      </c>
      <c r="D43" t="s">
        <v>18</v>
      </c>
      <c r="E43" t="s">
        <v>10</v>
      </c>
      <c r="F43">
        <v>54</v>
      </c>
      <c r="G43">
        <v>2.5000000000000001E-5</v>
      </c>
      <c r="H43" t="s">
        <v>47</v>
      </c>
      <c r="J43">
        <f t="shared" si="0"/>
        <v>1E-4</v>
      </c>
    </row>
    <row r="44" spans="1:10" x14ac:dyDescent="0.3">
      <c r="A44">
        <v>54</v>
      </c>
      <c r="B44">
        <v>5.4226619999999999</v>
      </c>
      <c r="C44" t="s">
        <v>8</v>
      </c>
      <c r="D44" t="s">
        <v>18</v>
      </c>
      <c r="E44" t="s">
        <v>22</v>
      </c>
      <c r="F44">
        <v>58</v>
      </c>
      <c r="G44">
        <v>6.3330000000000001E-3</v>
      </c>
      <c r="H44" t="s">
        <v>48</v>
      </c>
      <c r="J44">
        <f t="shared" si="0"/>
        <v>6.4000000000000003E-3</v>
      </c>
    </row>
    <row r="45" spans="1:10" x14ac:dyDescent="0.3">
      <c r="A45">
        <v>55</v>
      </c>
      <c r="B45">
        <v>5.465306</v>
      </c>
      <c r="C45" t="s">
        <v>18</v>
      </c>
      <c r="D45" t="s">
        <v>8</v>
      </c>
      <c r="E45" t="s">
        <v>10</v>
      </c>
      <c r="F45">
        <v>60</v>
      </c>
      <c r="G45">
        <v>4.2644000000000001E-2</v>
      </c>
      <c r="H45" t="s">
        <v>49</v>
      </c>
      <c r="J45">
        <f t="shared" si="0"/>
        <v>4.2700000000000002E-2</v>
      </c>
    </row>
    <row r="46" spans="1:10" x14ac:dyDescent="0.3">
      <c r="A46">
        <v>61</v>
      </c>
      <c r="B46">
        <v>6.6641810000000001</v>
      </c>
      <c r="C46" t="s">
        <v>18</v>
      </c>
      <c r="D46" t="s">
        <v>8</v>
      </c>
      <c r="E46" t="s">
        <v>22</v>
      </c>
      <c r="F46">
        <v>73</v>
      </c>
      <c r="G46">
        <v>1.1988749999999999</v>
      </c>
      <c r="H46" t="s">
        <v>50</v>
      </c>
      <c r="J46">
        <f t="shared" si="0"/>
        <v>1.1989000000000001</v>
      </c>
    </row>
    <row r="47" spans="1:10" x14ac:dyDescent="0.3">
      <c r="A47">
        <v>62</v>
      </c>
      <c r="B47">
        <v>6.6657739999999999</v>
      </c>
      <c r="C47" t="s">
        <v>8</v>
      </c>
      <c r="D47" t="s">
        <v>18</v>
      </c>
      <c r="E47" t="s">
        <v>22</v>
      </c>
      <c r="F47">
        <v>58</v>
      </c>
      <c r="G47">
        <v>1.593E-3</v>
      </c>
      <c r="H47" t="s">
        <v>51</v>
      </c>
      <c r="J47">
        <f t="shared" si="0"/>
        <v>1.6000000000000001E-3</v>
      </c>
    </row>
    <row r="48" spans="1:10" x14ac:dyDescent="0.3">
      <c r="A48">
        <v>63</v>
      </c>
      <c r="B48">
        <v>6.6663290000000002</v>
      </c>
      <c r="C48" t="s">
        <v>18</v>
      </c>
      <c r="D48" t="s">
        <v>8</v>
      </c>
      <c r="E48" t="s">
        <v>10</v>
      </c>
      <c r="F48">
        <v>60</v>
      </c>
      <c r="G48">
        <v>5.5500000000000005E-4</v>
      </c>
      <c r="H48" t="s">
        <v>52</v>
      </c>
      <c r="J48">
        <f t="shared" si="0"/>
        <v>6.0000000000000006E-4</v>
      </c>
    </row>
    <row r="49" spans="1:10" x14ac:dyDescent="0.3">
      <c r="A49">
        <v>66</v>
      </c>
      <c r="B49">
        <v>7.2553960000000002</v>
      </c>
      <c r="C49" t="s">
        <v>8</v>
      </c>
      <c r="D49" t="s">
        <v>18</v>
      </c>
      <c r="E49" t="s">
        <v>22</v>
      </c>
      <c r="F49">
        <v>73</v>
      </c>
      <c r="G49">
        <v>0.58906700000000001</v>
      </c>
      <c r="H49" t="s">
        <v>53</v>
      </c>
      <c r="J49">
        <f t="shared" si="0"/>
        <v>0.58909999999999996</v>
      </c>
    </row>
    <row r="50" spans="1:10" x14ac:dyDescent="0.3">
      <c r="A50">
        <v>67</v>
      </c>
      <c r="B50">
        <v>7.255808</v>
      </c>
      <c r="C50" t="s">
        <v>18</v>
      </c>
      <c r="D50" t="s">
        <v>8</v>
      </c>
      <c r="E50" t="s">
        <v>10</v>
      </c>
      <c r="F50">
        <v>60</v>
      </c>
      <c r="G50">
        <v>4.1199999999999999E-4</v>
      </c>
      <c r="H50" t="s">
        <v>54</v>
      </c>
      <c r="J50">
        <f t="shared" si="0"/>
        <v>5.0000000000000001E-4</v>
      </c>
    </row>
    <row r="51" spans="1:10" x14ac:dyDescent="0.3">
      <c r="A51">
        <v>68</v>
      </c>
      <c r="B51">
        <v>7.2606190000000002</v>
      </c>
      <c r="C51" t="s">
        <v>18</v>
      </c>
      <c r="D51" t="s">
        <v>8</v>
      </c>
      <c r="E51" t="s">
        <v>22</v>
      </c>
      <c r="F51">
        <v>60</v>
      </c>
      <c r="G51">
        <v>4.8110000000000002E-3</v>
      </c>
      <c r="H51" t="s">
        <v>55</v>
      </c>
      <c r="J51">
        <f t="shared" si="0"/>
        <v>4.8999999999999998E-3</v>
      </c>
    </row>
    <row r="52" spans="1:10" x14ac:dyDescent="0.3">
      <c r="A52">
        <v>69</v>
      </c>
      <c r="B52">
        <v>7.2612870000000003</v>
      </c>
      <c r="C52" t="s">
        <v>18</v>
      </c>
      <c r="D52" t="s">
        <v>8</v>
      </c>
      <c r="E52" t="s">
        <v>22</v>
      </c>
      <c r="F52">
        <v>73</v>
      </c>
      <c r="G52">
        <v>6.6799999999999997E-4</v>
      </c>
      <c r="H52" t="s">
        <v>56</v>
      </c>
      <c r="J52">
        <f t="shared" si="0"/>
        <v>6.9999999999999999E-4</v>
      </c>
    </row>
    <row r="53" spans="1:10" x14ac:dyDescent="0.3">
      <c r="A53">
        <v>70</v>
      </c>
      <c r="B53">
        <v>7.2613110000000001</v>
      </c>
      <c r="C53" t="s">
        <v>8</v>
      </c>
      <c r="D53" t="s">
        <v>18</v>
      </c>
      <c r="E53" t="s">
        <v>10</v>
      </c>
      <c r="F53">
        <v>54</v>
      </c>
      <c r="G53">
        <v>2.4000000000000001E-5</v>
      </c>
      <c r="H53" t="s">
        <v>57</v>
      </c>
      <c r="J53">
        <f t="shared" si="0"/>
        <v>1E-4</v>
      </c>
    </row>
    <row r="54" spans="1:10" x14ac:dyDescent="0.3">
      <c r="A54">
        <v>71</v>
      </c>
      <c r="B54">
        <v>7.2711490000000003</v>
      </c>
      <c r="C54" t="s">
        <v>8</v>
      </c>
      <c r="D54" t="s">
        <v>18</v>
      </c>
      <c r="E54" t="s">
        <v>22</v>
      </c>
      <c r="F54">
        <v>58</v>
      </c>
      <c r="G54">
        <v>9.8379999999999995E-3</v>
      </c>
      <c r="H54" t="s">
        <v>58</v>
      </c>
      <c r="J54">
        <f t="shared" si="0"/>
        <v>9.8999999999999991E-3</v>
      </c>
    </row>
    <row r="55" spans="1:10" x14ac:dyDescent="0.3">
      <c r="A55">
        <v>72</v>
      </c>
      <c r="B55">
        <v>7.3132820000000001</v>
      </c>
      <c r="C55" t="s">
        <v>18</v>
      </c>
      <c r="D55" t="s">
        <v>8</v>
      </c>
      <c r="E55" t="s">
        <v>10</v>
      </c>
      <c r="F55">
        <v>60</v>
      </c>
      <c r="G55">
        <v>4.2132999999999997E-2</v>
      </c>
      <c r="H55" t="s">
        <v>59</v>
      </c>
      <c r="J55">
        <f t="shared" si="0"/>
        <v>4.2200000000000001E-2</v>
      </c>
    </row>
    <row r="56" spans="1:10" x14ac:dyDescent="0.3">
      <c r="A56">
        <v>73</v>
      </c>
      <c r="B56">
        <v>7.858295</v>
      </c>
      <c r="C56" t="s">
        <v>18</v>
      </c>
      <c r="D56" t="s">
        <v>8</v>
      </c>
      <c r="E56" t="s">
        <v>22</v>
      </c>
      <c r="F56">
        <v>73</v>
      </c>
      <c r="G56">
        <v>0.54501299999999997</v>
      </c>
      <c r="H56" t="s">
        <v>60</v>
      </c>
      <c r="J56">
        <f t="shared" si="0"/>
        <v>0.54510000000000003</v>
      </c>
    </row>
    <row r="57" spans="1:10" x14ac:dyDescent="0.3">
      <c r="A57">
        <v>74</v>
      </c>
      <c r="B57">
        <v>7.8599209999999999</v>
      </c>
      <c r="C57" t="s">
        <v>8</v>
      </c>
      <c r="D57" t="s">
        <v>18</v>
      </c>
      <c r="E57" t="s">
        <v>22</v>
      </c>
      <c r="F57">
        <v>58</v>
      </c>
      <c r="G57">
        <v>1.6260000000000001E-3</v>
      </c>
      <c r="H57" t="s">
        <v>61</v>
      </c>
      <c r="J57">
        <f t="shared" si="0"/>
        <v>1.7000000000000001E-3</v>
      </c>
    </row>
    <row r="58" spans="1:10" x14ac:dyDescent="0.3">
      <c r="A58">
        <v>75</v>
      </c>
      <c r="B58">
        <v>7.8603129999999997</v>
      </c>
      <c r="C58" t="s">
        <v>18</v>
      </c>
      <c r="D58" t="s">
        <v>8</v>
      </c>
      <c r="E58" t="s">
        <v>10</v>
      </c>
      <c r="F58">
        <v>60</v>
      </c>
      <c r="G58">
        <v>3.9199999999999999E-4</v>
      </c>
      <c r="H58" t="s">
        <v>62</v>
      </c>
      <c r="J58">
        <f t="shared" si="0"/>
        <v>3.9999999999999996E-4</v>
      </c>
    </row>
    <row r="59" spans="1:10" x14ac:dyDescent="0.3">
      <c r="A59">
        <v>76</v>
      </c>
      <c r="B59">
        <v>7.9096310000000001</v>
      </c>
      <c r="C59" t="s">
        <v>8</v>
      </c>
      <c r="D59" t="s">
        <v>13</v>
      </c>
      <c r="E59" t="s">
        <v>10</v>
      </c>
      <c r="F59">
        <v>66</v>
      </c>
      <c r="G59">
        <v>4.9318000000000001E-2</v>
      </c>
      <c r="H59" t="s">
        <v>30</v>
      </c>
      <c r="J59">
        <f t="shared" si="0"/>
        <v>4.9399999999999999E-2</v>
      </c>
    </row>
    <row r="60" spans="1:10" x14ac:dyDescent="0.3">
      <c r="A60">
        <v>77</v>
      </c>
      <c r="B60">
        <v>7.9098949999999997</v>
      </c>
      <c r="C60" t="s">
        <v>8</v>
      </c>
      <c r="D60" t="s">
        <v>15</v>
      </c>
      <c r="E60" t="s">
        <v>10</v>
      </c>
      <c r="F60">
        <v>66</v>
      </c>
      <c r="G60">
        <v>2.6400000000000002E-4</v>
      </c>
      <c r="H60" t="s">
        <v>29</v>
      </c>
      <c r="J60">
        <f t="shared" si="0"/>
        <v>3.0000000000000003E-4</v>
      </c>
    </row>
    <row r="61" spans="1:10" x14ac:dyDescent="0.3">
      <c r="A61">
        <v>79</v>
      </c>
      <c r="B61">
        <v>8.3581769999999995</v>
      </c>
      <c r="C61" t="s">
        <v>8</v>
      </c>
      <c r="D61" t="s">
        <v>18</v>
      </c>
      <c r="E61" t="s">
        <v>22</v>
      </c>
      <c r="F61">
        <v>73</v>
      </c>
      <c r="G61">
        <v>0.44828200000000001</v>
      </c>
      <c r="H61" t="s">
        <v>63</v>
      </c>
      <c r="J61">
        <f t="shared" si="0"/>
        <v>0.44829999999999998</v>
      </c>
    </row>
    <row r="62" spans="1:10" x14ac:dyDescent="0.3">
      <c r="A62">
        <v>80</v>
      </c>
      <c r="B62">
        <v>8.3586209999999994</v>
      </c>
      <c r="C62" t="s">
        <v>18</v>
      </c>
      <c r="D62" t="s">
        <v>8</v>
      </c>
      <c r="E62" t="s">
        <v>10</v>
      </c>
      <c r="F62">
        <v>60</v>
      </c>
      <c r="G62">
        <v>4.44E-4</v>
      </c>
      <c r="H62" t="s">
        <v>64</v>
      </c>
      <c r="J62">
        <f t="shared" si="0"/>
        <v>5.0000000000000001E-4</v>
      </c>
    </row>
    <row r="63" spans="1:10" x14ac:dyDescent="0.3">
      <c r="A63">
        <v>81</v>
      </c>
      <c r="B63">
        <v>8.363308</v>
      </c>
      <c r="C63" t="s">
        <v>18</v>
      </c>
      <c r="D63" t="s">
        <v>8</v>
      </c>
      <c r="E63" t="s">
        <v>22</v>
      </c>
      <c r="F63">
        <v>60</v>
      </c>
      <c r="G63">
        <v>4.6870000000000002E-3</v>
      </c>
      <c r="H63" t="s">
        <v>65</v>
      </c>
      <c r="J63">
        <f t="shared" si="0"/>
        <v>4.7000000000000002E-3</v>
      </c>
    </row>
    <row r="64" spans="1:10" x14ac:dyDescent="0.3">
      <c r="A64">
        <v>82</v>
      </c>
      <c r="B64">
        <v>8.3645800000000001</v>
      </c>
      <c r="C64" t="s">
        <v>18</v>
      </c>
      <c r="D64" t="s">
        <v>8</v>
      </c>
      <c r="E64" t="s">
        <v>22</v>
      </c>
      <c r="F64">
        <v>73</v>
      </c>
      <c r="G64">
        <v>1.2719999999999999E-3</v>
      </c>
      <c r="H64" t="s">
        <v>66</v>
      </c>
      <c r="J64">
        <f t="shared" si="0"/>
        <v>1.2999999999999999E-3</v>
      </c>
    </row>
    <row r="65" spans="1:10" x14ac:dyDescent="0.3">
      <c r="A65">
        <v>83</v>
      </c>
      <c r="B65">
        <v>8.3646039999999999</v>
      </c>
      <c r="C65" t="s">
        <v>8</v>
      </c>
      <c r="D65" t="s">
        <v>18</v>
      </c>
      <c r="E65" t="s">
        <v>10</v>
      </c>
      <c r="F65">
        <v>54</v>
      </c>
      <c r="G65">
        <v>2.4000000000000001E-5</v>
      </c>
      <c r="H65" t="s">
        <v>67</v>
      </c>
      <c r="J65">
        <f t="shared" si="0"/>
        <v>1E-4</v>
      </c>
    </row>
    <row r="66" spans="1:10" x14ac:dyDescent="0.3">
      <c r="A66">
        <v>84</v>
      </c>
      <c r="B66">
        <v>8.3702439999999996</v>
      </c>
      <c r="C66" t="s">
        <v>8</v>
      </c>
      <c r="D66" t="s">
        <v>18</v>
      </c>
      <c r="E66" t="s">
        <v>22</v>
      </c>
      <c r="F66">
        <v>58</v>
      </c>
      <c r="G66">
        <v>5.64E-3</v>
      </c>
      <c r="H66" t="s">
        <v>68</v>
      </c>
      <c r="J66">
        <f t="shared" si="0"/>
        <v>5.7000000000000002E-3</v>
      </c>
    </row>
    <row r="67" spans="1:10" x14ac:dyDescent="0.3">
      <c r="A67">
        <v>85</v>
      </c>
      <c r="B67">
        <v>8.4131789999999995</v>
      </c>
      <c r="C67" t="s">
        <v>18</v>
      </c>
      <c r="D67" t="s">
        <v>8</v>
      </c>
      <c r="E67" t="s">
        <v>10</v>
      </c>
      <c r="F67">
        <v>60</v>
      </c>
      <c r="G67">
        <v>4.2935000000000001E-2</v>
      </c>
      <c r="H67" t="s">
        <v>69</v>
      </c>
      <c r="J67">
        <f t="shared" si="0"/>
        <v>4.3000000000000003E-2</v>
      </c>
    </row>
    <row r="68" spans="1:10" x14ac:dyDescent="0.3">
      <c r="A68">
        <v>86</v>
      </c>
      <c r="B68">
        <v>8.9192319999999992</v>
      </c>
      <c r="C68" t="s">
        <v>8</v>
      </c>
      <c r="D68" t="s">
        <v>31</v>
      </c>
      <c r="E68" t="s">
        <v>10</v>
      </c>
      <c r="F68">
        <v>66</v>
      </c>
      <c r="G68">
        <v>0.50605299999999998</v>
      </c>
      <c r="H68" t="s">
        <v>33</v>
      </c>
      <c r="J68">
        <f t="shared" ref="J68:J131" si="1">ROUNDUP(G68,4)</f>
        <v>0.50609999999999999</v>
      </c>
    </row>
    <row r="69" spans="1:10" x14ac:dyDescent="0.3">
      <c r="A69">
        <v>87</v>
      </c>
      <c r="B69">
        <v>8.9600380000000008</v>
      </c>
      <c r="C69" t="s">
        <v>18</v>
      </c>
      <c r="D69" t="s">
        <v>8</v>
      </c>
      <c r="E69" t="s">
        <v>22</v>
      </c>
      <c r="F69">
        <v>73</v>
      </c>
      <c r="G69">
        <v>4.0806000000000002E-2</v>
      </c>
      <c r="H69" t="s">
        <v>70</v>
      </c>
      <c r="J69">
        <f t="shared" si="1"/>
        <v>4.0900000000000006E-2</v>
      </c>
    </row>
    <row r="70" spans="1:10" x14ac:dyDescent="0.3">
      <c r="A70">
        <v>88</v>
      </c>
      <c r="B70">
        <v>8.9614560000000001</v>
      </c>
      <c r="C70" t="s">
        <v>8</v>
      </c>
      <c r="D70" t="s">
        <v>18</v>
      </c>
      <c r="E70" t="s">
        <v>22</v>
      </c>
      <c r="F70">
        <v>58</v>
      </c>
      <c r="G70">
        <v>1.418E-3</v>
      </c>
      <c r="H70" t="s">
        <v>71</v>
      </c>
      <c r="J70">
        <f t="shared" si="1"/>
        <v>1.5E-3</v>
      </c>
    </row>
    <row r="71" spans="1:10" x14ac:dyDescent="0.3">
      <c r="A71">
        <v>89</v>
      </c>
      <c r="B71">
        <v>8.9618629999999992</v>
      </c>
      <c r="C71" t="s">
        <v>18</v>
      </c>
      <c r="D71" t="s">
        <v>8</v>
      </c>
      <c r="E71" t="s">
        <v>10</v>
      </c>
      <c r="F71">
        <v>60</v>
      </c>
      <c r="G71">
        <v>4.0700000000000003E-4</v>
      </c>
      <c r="H71" t="s">
        <v>72</v>
      </c>
      <c r="J71">
        <f t="shared" si="1"/>
        <v>5.0000000000000001E-4</v>
      </c>
    </row>
    <row r="72" spans="1:10" x14ac:dyDescent="0.3">
      <c r="A72">
        <v>90</v>
      </c>
      <c r="B72">
        <v>9.5127000000000006</v>
      </c>
      <c r="C72" t="s">
        <v>8</v>
      </c>
      <c r="D72" t="s">
        <v>18</v>
      </c>
      <c r="E72" t="s">
        <v>22</v>
      </c>
      <c r="F72">
        <v>73</v>
      </c>
      <c r="G72">
        <v>0.55083700000000002</v>
      </c>
      <c r="H72" t="s">
        <v>73</v>
      </c>
      <c r="J72">
        <f t="shared" si="1"/>
        <v>0.55089999999999995</v>
      </c>
    </row>
    <row r="73" spans="1:10" x14ac:dyDescent="0.3">
      <c r="A73">
        <v>91</v>
      </c>
      <c r="B73">
        <v>9.5133569999999992</v>
      </c>
      <c r="C73" t="s">
        <v>18</v>
      </c>
      <c r="D73" t="s">
        <v>8</v>
      </c>
      <c r="E73" t="s">
        <v>10</v>
      </c>
      <c r="F73">
        <v>60</v>
      </c>
      <c r="G73">
        <v>6.5700000000000003E-4</v>
      </c>
      <c r="H73" t="s">
        <v>74</v>
      </c>
      <c r="J73">
        <f t="shared" si="1"/>
        <v>6.9999999999999999E-4</v>
      </c>
    </row>
    <row r="74" spans="1:10" x14ac:dyDescent="0.3">
      <c r="A74">
        <v>92</v>
      </c>
      <c r="B74">
        <v>9.5177390000000006</v>
      </c>
      <c r="C74" t="s">
        <v>18</v>
      </c>
      <c r="D74" t="s">
        <v>8</v>
      </c>
      <c r="E74" t="s">
        <v>22</v>
      </c>
      <c r="F74">
        <v>60</v>
      </c>
      <c r="G74">
        <v>4.3819999999999996E-3</v>
      </c>
      <c r="H74" t="s">
        <v>75</v>
      </c>
      <c r="J74">
        <f t="shared" si="1"/>
        <v>4.4000000000000003E-3</v>
      </c>
    </row>
    <row r="75" spans="1:10" x14ac:dyDescent="0.3">
      <c r="A75">
        <v>93</v>
      </c>
      <c r="B75">
        <v>9.5189880000000002</v>
      </c>
      <c r="C75" t="s">
        <v>18</v>
      </c>
      <c r="D75" t="s">
        <v>8</v>
      </c>
      <c r="E75" t="s">
        <v>22</v>
      </c>
      <c r="F75">
        <v>73</v>
      </c>
      <c r="G75">
        <v>1.2489999999999999E-3</v>
      </c>
      <c r="H75" t="s">
        <v>76</v>
      </c>
      <c r="J75">
        <f t="shared" si="1"/>
        <v>1.2999999999999999E-3</v>
      </c>
    </row>
    <row r="76" spans="1:10" x14ac:dyDescent="0.3">
      <c r="A76">
        <v>94</v>
      </c>
      <c r="B76">
        <v>9.519012</v>
      </c>
      <c r="C76" t="s">
        <v>8</v>
      </c>
      <c r="D76" t="s">
        <v>18</v>
      </c>
      <c r="E76" t="s">
        <v>10</v>
      </c>
      <c r="F76">
        <v>54</v>
      </c>
      <c r="G76">
        <v>2.4000000000000001E-5</v>
      </c>
      <c r="H76" t="s">
        <v>77</v>
      </c>
      <c r="J76">
        <f t="shared" si="1"/>
        <v>1E-4</v>
      </c>
    </row>
    <row r="77" spans="1:10" x14ac:dyDescent="0.3">
      <c r="A77">
        <v>95</v>
      </c>
      <c r="B77">
        <v>9.5258120000000002</v>
      </c>
      <c r="C77" t="s">
        <v>8</v>
      </c>
      <c r="D77" t="s">
        <v>18</v>
      </c>
      <c r="E77" t="s">
        <v>22</v>
      </c>
      <c r="F77">
        <v>58</v>
      </c>
      <c r="G77">
        <v>6.7999999999999996E-3</v>
      </c>
      <c r="H77" t="s">
        <v>78</v>
      </c>
      <c r="J77">
        <f t="shared" si="1"/>
        <v>6.7999999999999996E-3</v>
      </c>
    </row>
    <row r="78" spans="1:10" x14ac:dyDescent="0.3">
      <c r="A78">
        <v>96</v>
      </c>
      <c r="B78">
        <v>9.5692769999999996</v>
      </c>
      <c r="C78" t="s">
        <v>18</v>
      </c>
      <c r="D78" t="s">
        <v>8</v>
      </c>
      <c r="E78" t="s">
        <v>10</v>
      </c>
      <c r="F78">
        <v>60</v>
      </c>
      <c r="G78">
        <v>4.3464999999999997E-2</v>
      </c>
      <c r="H78" t="s">
        <v>79</v>
      </c>
      <c r="J78">
        <f t="shared" si="1"/>
        <v>4.3500000000000004E-2</v>
      </c>
    </row>
    <row r="79" spans="1:10" x14ac:dyDescent="0.3">
      <c r="A79">
        <v>102</v>
      </c>
      <c r="B79">
        <v>10.097887</v>
      </c>
      <c r="C79" t="s">
        <v>18</v>
      </c>
      <c r="D79" t="s">
        <v>8</v>
      </c>
      <c r="E79" t="s">
        <v>22</v>
      </c>
      <c r="F79">
        <v>73</v>
      </c>
      <c r="G79">
        <v>0.52861000000000002</v>
      </c>
      <c r="H79" t="s">
        <v>80</v>
      </c>
      <c r="J79">
        <f t="shared" si="1"/>
        <v>0.52869999999999995</v>
      </c>
    </row>
    <row r="80" spans="1:10" x14ac:dyDescent="0.3">
      <c r="A80">
        <v>103</v>
      </c>
      <c r="B80">
        <v>10.099463</v>
      </c>
      <c r="C80" t="s">
        <v>8</v>
      </c>
      <c r="D80" t="s">
        <v>18</v>
      </c>
      <c r="E80" t="s">
        <v>22</v>
      </c>
      <c r="F80">
        <v>58</v>
      </c>
      <c r="G80">
        <v>1.5759999999999999E-3</v>
      </c>
      <c r="H80" t="s">
        <v>81</v>
      </c>
      <c r="J80">
        <f t="shared" si="1"/>
        <v>1.6000000000000001E-3</v>
      </c>
    </row>
    <row r="81" spans="1:10" x14ac:dyDescent="0.3">
      <c r="A81">
        <v>104</v>
      </c>
      <c r="B81">
        <v>10.099875000000001</v>
      </c>
      <c r="C81" t="s">
        <v>18</v>
      </c>
      <c r="D81" t="s">
        <v>8</v>
      </c>
      <c r="E81" t="s">
        <v>10</v>
      </c>
      <c r="F81">
        <v>60</v>
      </c>
      <c r="G81">
        <v>4.1199999999999999E-4</v>
      </c>
      <c r="H81" t="s">
        <v>82</v>
      </c>
      <c r="J81">
        <f t="shared" si="1"/>
        <v>5.0000000000000001E-4</v>
      </c>
    </row>
    <row r="82" spans="1:10" x14ac:dyDescent="0.3">
      <c r="A82">
        <v>105</v>
      </c>
      <c r="B82">
        <v>10.650841</v>
      </c>
      <c r="C82" t="s">
        <v>8</v>
      </c>
      <c r="D82" t="s">
        <v>18</v>
      </c>
      <c r="E82" t="s">
        <v>22</v>
      </c>
      <c r="F82">
        <v>73</v>
      </c>
      <c r="G82">
        <v>0.55096599999999996</v>
      </c>
      <c r="H82" t="s">
        <v>83</v>
      </c>
      <c r="J82">
        <f t="shared" si="1"/>
        <v>0.55099999999999993</v>
      </c>
    </row>
    <row r="83" spans="1:10" x14ac:dyDescent="0.3">
      <c r="A83">
        <v>106</v>
      </c>
      <c r="B83">
        <v>10.65146</v>
      </c>
      <c r="C83" t="s">
        <v>18</v>
      </c>
      <c r="D83" t="s">
        <v>8</v>
      </c>
      <c r="E83" t="s">
        <v>10</v>
      </c>
      <c r="F83">
        <v>60</v>
      </c>
      <c r="G83">
        <v>6.1899999999999998E-4</v>
      </c>
      <c r="H83" t="s">
        <v>84</v>
      </c>
      <c r="J83">
        <f t="shared" si="1"/>
        <v>6.9999999999999999E-4</v>
      </c>
    </row>
    <row r="84" spans="1:10" x14ac:dyDescent="0.3">
      <c r="A84">
        <v>107</v>
      </c>
      <c r="B84">
        <v>10.656034999999999</v>
      </c>
      <c r="C84" t="s">
        <v>18</v>
      </c>
      <c r="D84" t="s">
        <v>8</v>
      </c>
      <c r="E84" t="s">
        <v>22</v>
      </c>
      <c r="F84">
        <v>60</v>
      </c>
      <c r="G84">
        <v>4.5750000000000001E-3</v>
      </c>
      <c r="H84" t="s">
        <v>85</v>
      </c>
      <c r="J84">
        <f t="shared" si="1"/>
        <v>4.5999999999999999E-3</v>
      </c>
    </row>
    <row r="85" spans="1:10" x14ac:dyDescent="0.3">
      <c r="A85">
        <v>108</v>
      </c>
      <c r="B85">
        <v>10.657047</v>
      </c>
      <c r="C85" t="s">
        <v>18</v>
      </c>
      <c r="D85" t="s">
        <v>8</v>
      </c>
      <c r="E85" t="s">
        <v>22</v>
      </c>
      <c r="F85">
        <v>73</v>
      </c>
      <c r="G85">
        <v>1.0120000000000001E-3</v>
      </c>
      <c r="H85" t="s">
        <v>86</v>
      </c>
      <c r="J85">
        <f t="shared" si="1"/>
        <v>1.1000000000000001E-3</v>
      </c>
    </row>
    <row r="86" spans="1:10" x14ac:dyDescent="0.3">
      <c r="A86">
        <v>109</v>
      </c>
      <c r="B86">
        <v>10.657071</v>
      </c>
      <c r="C86" t="s">
        <v>8</v>
      </c>
      <c r="D86" t="s">
        <v>18</v>
      </c>
      <c r="E86" t="s">
        <v>10</v>
      </c>
      <c r="F86">
        <v>54</v>
      </c>
      <c r="G86">
        <v>2.4000000000000001E-5</v>
      </c>
      <c r="H86" t="s">
        <v>87</v>
      </c>
      <c r="J86">
        <f t="shared" si="1"/>
        <v>1E-4</v>
      </c>
    </row>
    <row r="87" spans="1:10" x14ac:dyDescent="0.3">
      <c r="A87">
        <v>110</v>
      </c>
      <c r="B87">
        <v>10.663624</v>
      </c>
      <c r="C87" t="s">
        <v>8</v>
      </c>
      <c r="D87" t="s">
        <v>18</v>
      </c>
      <c r="E87" t="s">
        <v>22</v>
      </c>
      <c r="F87">
        <v>58</v>
      </c>
      <c r="G87">
        <v>6.5529999999999998E-3</v>
      </c>
      <c r="H87" t="s">
        <v>88</v>
      </c>
      <c r="J87">
        <f t="shared" si="1"/>
        <v>6.6E-3</v>
      </c>
    </row>
    <row r="88" spans="1:10" x14ac:dyDescent="0.3">
      <c r="A88">
        <v>111</v>
      </c>
      <c r="B88">
        <v>10.705266</v>
      </c>
      <c r="C88" t="s">
        <v>18</v>
      </c>
      <c r="D88" t="s">
        <v>8</v>
      </c>
      <c r="E88" t="s">
        <v>10</v>
      </c>
      <c r="F88">
        <v>60</v>
      </c>
      <c r="G88">
        <v>4.1641999999999998E-2</v>
      </c>
      <c r="H88" t="s">
        <v>89</v>
      </c>
      <c r="J88">
        <f t="shared" si="1"/>
        <v>4.1700000000000001E-2</v>
      </c>
    </row>
    <row r="89" spans="1:10" x14ac:dyDescent="0.3">
      <c r="A89">
        <v>112</v>
      </c>
      <c r="B89">
        <v>11.281416999999999</v>
      </c>
      <c r="C89" t="s">
        <v>18</v>
      </c>
      <c r="D89" t="s">
        <v>8</v>
      </c>
      <c r="E89" t="s">
        <v>22</v>
      </c>
      <c r="F89">
        <v>73</v>
      </c>
      <c r="G89">
        <v>0.57615099999999997</v>
      </c>
      <c r="H89" t="s">
        <v>90</v>
      </c>
      <c r="J89">
        <f t="shared" si="1"/>
        <v>0.57619999999999993</v>
      </c>
    </row>
    <row r="90" spans="1:10" x14ac:dyDescent="0.3">
      <c r="A90">
        <v>113</v>
      </c>
      <c r="B90">
        <v>11.282866</v>
      </c>
      <c r="C90" t="s">
        <v>8</v>
      </c>
      <c r="D90" t="s">
        <v>18</v>
      </c>
      <c r="E90" t="s">
        <v>22</v>
      </c>
      <c r="F90">
        <v>58</v>
      </c>
      <c r="G90">
        <v>1.449E-3</v>
      </c>
      <c r="H90" t="s">
        <v>91</v>
      </c>
      <c r="J90">
        <f t="shared" si="1"/>
        <v>1.5E-3</v>
      </c>
    </row>
    <row r="91" spans="1:10" x14ac:dyDescent="0.3">
      <c r="A91">
        <v>114</v>
      </c>
      <c r="B91">
        <v>11.288107999999999</v>
      </c>
      <c r="C91" t="s">
        <v>18</v>
      </c>
      <c r="D91" t="s">
        <v>8</v>
      </c>
      <c r="E91" t="s">
        <v>10</v>
      </c>
      <c r="F91">
        <v>60</v>
      </c>
      <c r="G91">
        <v>5.2420000000000001E-3</v>
      </c>
      <c r="H91" t="s">
        <v>92</v>
      </c>
      <c r="J91">
        <f t="shared" si="1"/>
        <v>5.3E-3</v>
      </c>
    </row>
    <row r="92" spans="1:10" x14ac:dyDescent="0.3">
      <c r="A92">
        <v>115</v>
      </c>
      <c r="B92">
        <v>11.803551000000001</v>
      </c>
      <c r="C92" t="s">
        <v>8</v>
      </c>
      <c r="D92" t="s">
        <v>18</v>
      </c>
      <c r="E92" t="s">
        <v>22</v>
      </c>
      <c r="F92">
        <v>73</v>
      </c>
      <c r="G92">
        <v>0.51544299999999998</v>
      </c>
      <c r="H92" t="s">
        <v>93</v>
      </c>
      <c r="J92">
        <f t="shared" si="1"/>
        <v>0.51549999999999996</v>
      </c>
    </row>
    <row r="93" spans="1:10" x14ac:dyDescent="0.3">
      <c r="A93">
        <v>116</v>
      </c>
      <c r="B93">
        <v>11.804214999999999</v>
      </c>
      <c r="C93" t="s">
        <v>18</v>
      </c>
      <c r="D93" t="s">
        <v>8</v>
      </c>
      <c r="E93" t="s">
        <v>10</v>
      </c>
      <c r="F93">
        <v>60</v>
      </c>
      <c r="G93">
        <v>6.6399999999999999E-4</v>
      </c>
      <c r="H93" t="s">
        <v>94</v>
      </c>
      <c r="J93">
        <f t="shared" si="1"/>
        <v>6.9999999999999999E-4</v>
      </c>
    </row>
    <row r="94" spans="1:10" x14ac:dyDescent="0.3">
      <c r="A94">
        <v>117</v>
      </c>
      <c r="B94">
        <v>11.808292</v>
      </c>
      <c r="C94" t="s">
        <v>18</v>
      </c>
      <c r="D94" t="s">
        <v>8</v>
      </c>
      <c r="E94" t="s">
        <v>22</v>
      </c>
      <c r="F94">
        <v>60</v>
      </c>
      <c r="G94">
        <v>4.0769999999999999E-3</v>
      </c>
      <c r="H94" t="s">
        <v>95</v>
      </c>
      <c r="J94">
        <f t="shared" si="1"/>
        <v>4.1000000000000003E-3</v>
      </c>
    </row>
    <row r="95" spans="1:10" x14ac:dyDescent="0.3">
      <c r="A95">
        <v>118</v>
      </c>
      <c r="B95">
        <v>11.809597999999999</v>
      </c>
      <c r="C95" t="s">
        <v>18</v>
      </c>
      <c r="D95" t="s">
        <v>8</v>
      </c>
      <c r="E95" t="s">
        <v>22</v>
      </c>
      <c r="F95">
        <v>73</v>
      </c>
      <c r="G95">
        <v>1.3060000000000001E-3</v>
      </c>
      <c r="H95" t="s">
        <v>96</v>
      </c>
      <c r="J95">
        <f t="shared" si="1"/>
        <v>1.4E-3</v>
      </c>
    </row>
    <row r="96" spans="1:10" x14ac:dyDescent="0.3">
      <c r="A96">
        <v>119</v>
      </c>
      <c r="B96">
        <v>11.809623</v>
      </c>
      <c r="C96" t="s">
        <v>8</v>
      </c>
      <c r="D96" t="s">
        <v>18</v>
      </c>
      <c r="E96" t="s">
        <v>10</v>
      </c>
      <c r="F96">
        <v>54</v>
      </c>
      <c r="G96">
        <v>2.5000000000000001E-5</v>
      </c>
      <c r="H96" t="s">
        <v>97</v>
      </c>
      <c r="J96">
        <f t="shared" si="1"/>
        <v>1E-4</v>
      </c>
    </row>
    <row r="97" spans="1:10" x14ac:dyDescent="0.3">
      <c r="A97">
        <v>120</v>
      </c>
      <c r="B97">
        <v>11.816000000000001</v>
      </c>
      <c r="C97" t="s">
        <v>8</v>
      </c>
      <c r="D97" t="s">
        <v>18</v>
      </c>
      <c r="E97" t="s">
        <v>22</v>
      </c>
      <c r="F97">
        <v>58</v>
      </c>
      <c r="G97">
        <v>6.3769999999999999E-3</v>
      </c>
      <c r="H97" t="s">
        <v>98</v>
      </c>
      <c r="J97">
        <f t="shared" si="1"/>
        <v>6.4000000000000003E-3</v>
      </c>
    </row>
    <row r="98" spans="1:10" x14ac:dyDescent="0.3">
      <c r="A98">
        <v>121</v>
      </c>
      <c r="B98">
        <v>11.857225</v>
      </c>
      <c r="C98" t="s">
        <v>18</v>
      </c>
      <c r="D98" t="s">
        <v>8</v>
      </c>
      <c r="E98" t="s">
        <v>10</v>
      </c>
      <c r="F98">
        <v>60</v>
      </c>
      <c r="G98">
        <v>4.1224999999999998E-2</v>
      </c>
      <c r="H98" t="s">
        <v>99</v>
      </c>
      <c r="J98">
        <f t="shared" si="1"/>
        <v>4.1300000000000003E-2</v>
      </c>
    </row>
    <row r="99" spans="1:10" x14ac:dyDescent="0.3">
      <c r="A99">
        <v>123</v>
      </c>
      <c r="B99">
        <v>12.375116999999999</v>
      </c>
      <c r="C99" t="s">
        <v>18</v>
      </c>
      <c r="D99" t="s">
        <v>8</v>
      </c>
      <c r="E99" t="s">
        <v>22</v>
      </c>
      <c r="F99">
        <v>73</v>
      </c>
      <c r="G99">
        <v>0.51789200000000002</v>
      </c>
      <c r="H99" t="s">
        <v>100</v>
      </c>
      <c r="J99">
        <f t="shared" si="1"/>
        <v>0.51790000000000003</v>
      </c>
    </row>
    <row r="100" spans="1:10" x14ac:dyDescent="0.3">
      <c r="A100">
        <v>124</v>
      </c>
      <c r="B100">
        <v>12.376737</v>
      </c>
      <c r="C100" t="s">
        <v>8</v>
      </c>
      <c r="D100" t="s">
        <v>18</v>
      </c>
      <c r="E100" t="s">
        <v>22</v>
      </c>
      <c r="F100">
        <v>58</v>
      </c>
      <c r="G100">
        <v>1.6199999999999999E-3</v>
      </c>
      <c r="H100" t="s">
        <v>101</v>
      </c>
      <c r="J100">
        <f t="shared" si="1"/>
        <v>1.7000000000000001E-3</v>
      </c>
    </row>
    <row r="101" spans="1:10" x14ac:dyDescent="0.3">
      <c r="A101">
        <v>125</v>
      </c>
      <c r="B101">
        <v>12.377336</v>
      </c>
      <c r="C101" t="s">
        <v>18</v>
      </c>
      <c r="D101" t="s">
        <v>8</v>
      </c>
      <c r="E101" t="s">
        <v>10</v>
      </c>
      <c r="F101">
        <v>60</v>
      </c>
      <c r="G101">
        <v>5.9900000000000003E-4</v>
      </c>
      <c r="H101" t="s">
        <v>102</v>
      </c>
      <c r="J101">
        <f t="shared" si="1"/>
        <v>6.0000000000000006E-4</v>
      </c>
    </row>
    <row r="102" spans="1:10" x14ac:dyDescent="0.3">
      <c r="A102">
        <v>126</v>
      </c>
      <c r="B102">
        <v>12.864928000000001</v>
      </c>
      <c r="C102" t="s">
        <v>8</v>
      </c>
      <c r="D102" t="s">
        <v>9</v>
      </c>
      <c r="E102" t="s">
        <v>10</v>
      </c>
      <c r="F102">
        <v>66</v>
      </c>
      <c r="G102">
        <v>0.48759200000000003</v>
      </c>
      <c r="H102" t="s">
        <v>103</v>
      </c>
      <c r="J102">
        <f t="shared" si="1"/>
        <v>0.48759999999999998</v>
      </c>
    </row>
    <row r="103" spans="1:10" x14ac:dyDescent="0.3">
      <c r="A103">
        <v>127</v>
      </c>
      <c r="B103">
        <v>12.879851</v>
      </c>
      <c r="C103" t="s">
        <v>8</v>
      </c>
      <c r="D103" t="s">
        <v>18</v>
      </c>
      <c r="E103" t="s">
        <v>22</v>
      </c>
      <c r="F103">
        <v>73</v>
      </c>
      <c r="G103">
        <v>1.4923000000000001E-2</v>
      </c>
      <c r="H103" t="s">
        <v>104</v>
      </c>
      <c r="J103">
        <f t="shared" si="1"/>
        <v>1.4999999999999999E-2</v>
      </c>
    </row>
    <row r="104" spans="1:10" x14ac:dyDescent="0.3">
      <c r="A104">
        <v>128</v>
      </c>
      <c r="B104">
        <v>12.880488</v>
      </c>
      <c r="C104" t="s">
        <v>18</v>
      </c>
      <c r="D104" t="s">
        <v>8</v>
      </c>
      <c r="E104" t="s">
        <v>10</v>
      </c>
      <c r="F104">
        <v>60</v>
      </c>
      <c r="G104">
        <v>6.3699999999999998E-4</v>
      </c>
      <c r="H104" t="s">
        <v>105</v>
      </c>
      <c r="J104">
        <f t="shared" si="1"/>
        <v>6.9999999999999999E-4</v>
      </c>
    </row>
    <row r="105" spans="1:10" x14ac:dyDescent="0.3">
      <c r="A105">
        <v>129</v>
      </c>
      <c r="B105">
        <v>12.88494</v>
      </c>
      <c r="C105" t="s">
        <v>18</v>
      </c>
      <c r="D105" t="s">
        <v>8</v>
      </c>
      <c r="E105" t="s">
        <v>22</v>
      </c>
      <c r="F105">
        <v>60</v>
      </c>
      <c r="G105">
        <v>4.4520000000000002E-3</v>
      </c>
      <c r="H105" t="s">
        <v>106</v>
      </c>
      <c r="J105">
        <f t="shared" si="1"/>
        <v>4.5000000000000005E-3</v>
      </c>
    </row>
    <row r="106" spans="1:10" x14ac:dyDescent="0.3">
      <c r="A106">
        <v>130</v>
      </c>
      <c r="B106">
        <v>12.885994999999999</v>
      </c>
      <c r="C106" t="s">
        <v>18</v>
      </c>
      <c r="D106" t="s">
        <v>8</v>
      </c>
      <c r="E106" t="s">
        <v>22</v>
      </c>
      <c r="F106">
        <v>73</v>
      </c>
      <c r="G106">
        <v>1.0549999999999999E-3</v>
      </c>
      <c r="H106" t="s">
        <v>107</v>
      </c>
      <c r="J106">
        <f t="shared" si="1"/>
        <v>1.1000000000000001E-3</v>
      </c>
    </row>
    <row r="107" spans="1:10" x14ac:dyDescent="0.3">
      <c r="A107">
        <v>131</v>
      </c>
      <c r="B107">
        <v>12.886017000000001</v>
      </c>
      <c r="C107" t="s">
        <v>8</v>
      </c>
      <c r="D107" t="s">
        <v>18</v>
      </c>
      <c r="E107" t="s">
        <v>10</v>
      </c>
      <c r="F107">
        <v>54</v>
      </c>
      <c r="G107">
        <v>2.1999999999999999E-5</v>
      </c>
      <c r="H107" t="s">
        <v>108</v>
      </c>
      <c r="J107">
        <f t="shared" si="1"/>
        <v>1E-4</v>
      </c>
    </row>
    <row r="108" spans="1:10" x14ac:dyDescent="0.3">
      <c r="A108">
        <v>132</v>
      </c>
      <c r="B108">
        <v>12.893311000000001</v>
      </c>
      <c r="C108" t="s">
        <v>8</v>
      </c>
      <c r="D108" t="s">
        <v>18</v>
      </c>
      <c r="E108" t="s">
        <v>22</v>
      </c>
      <c r="F108">
        <v>58</v>
      </c>
      <c r="G108">
        <v>7.2940000000000001E-3</v>
      </c>
      <c r="H108" t="s">
        <v>109</v>
      </c>
      <c r="J108">
        <f t="shared" si="1"/>
        <v>7.3000000000000001E-3</v>
      </c>
    </row>
    <row r="109" spans="1:10" x14ac:dyDescent="0.3">
      <c r="A109">
        <v>133</v>
      </c>
      <c r="B109">
        <v>12.93727</v>
      </c>
      <c r="C109" t="s">
        <v>18</v>
      </c>
      <c r="D109" t="s">
        <v>8</v>
      </c>
      <c r="E109" t="s">
        <v>10</v>
      </c>
      <c r="F109">
        <v>60</v>
      </c>
      <c r="G109">
        <v>4.3958999999999998E-2</v>
      </c>
      <c r="H109" t="s">
        <v>110</v>
      </c>
      <c r="J109">
        <f t="shared" si="1"/>
        <v>4.4000000000000004E-2</v>
      </c>
    </row>
    <row r="110" spans="1:10" x14ac:dyDescent="0.3">
      <c r="A110">
        <v>134</v>
      </c>
      <c r="B110">
        <v>12.97142</v>
      </c>
      <c r="C110" t="s">
        <v>9</v>
      </c>
      <c r="D110" t="s">
        <v>8</v>
      </c>
      <c r="E110" t="s">
        <v>10</v>
      </c>
      <c r="F110">
        <v>60</v>
      </c>
      <c r="G110">
        <v>3.415E-2</v>
      </c>
      <c r="H110" t="s">
        <v>111</v>
      </c>
      <c r="J110">
        <f t="shared" si="1"/>
        <v>3.4200000000000001E-2</v>
      </c>
    </row>
    <row r="111" spans="1:10" x14ac:dyDescent="0.3">
      <c r="A111">
        <v>135</v>
      </c>
      <c r="B111">
        <v>13.427716</v>
      </c>
      <c r="C111" t="s">
        <v>18</v>
      </c>
      <c r="D111" t="s">
        <v>8</v>
      </c>
      <c r="E111" t="s">
        <v>22</v>
      </c>
      <c r="F111">
        <v>73</v>
      </c>
      <c r="G111">
        <v>0.45629599999999998</v>
      </c>
      <c r="H111" t="s">
        <v>112</v>
      </c>
      <c r="J111">
        <f t="shared" si="1"/>
        <v>0.45629999999999998</v>
      </c>
    </row>
    <row r="112" spans="1:10" x14ac:dyDescent="0.3">
      <c r="A112">
        <v>136</v>
      </c>
      <c r="B112">
        <v>13.429039</v>
      </c>
      <c r="C112" t="s">
        <v>8</v>
      </c>
      <c r="D112" t="s">
        <v>18</v>
      </c>
      <c r="E112" t="s">
        <v>22</v>
      </c>
      <c r="F112">
        <v>58</v>
      </c>
      <c r="G112">
        <v>1.323E-3</v>
      </c>
      <c r="H112" t="s">
        <v>113</v>
      </c>
      <c r="J112">
        <f t="shared" si="1"/>
        <v>1.4E-3</v>
      </c>
    </row>
    <row r="113" spans="1:10" x14ac:dyDescent="0.3">
      <c r="A113">
        <v>137</v>
      </c>
      <c r="B113">
        <v>13.429501</v>
      </c>
      <c r="C113" t="s">
        <v>18</v>
      </c>
      <c r="D113" t="s">
        <v>8</v>
      </c>
      <c r="E113" t="s">
        <v>10</v>
      </c>
      <c r="F113">
        <v>60</v>
      </c>
      <c r="G113">
        <v>4.6200000000000001E-4</v>
      </c>
      <c r="H113" t="s">
        <v>114</v>
      </c>
      <c r="J113">
        <f t="shared" si="1"/>
        <v>5.0000000000000001E-4</v>
      </c>
    </row>
    <row r="114" spans="1:10" x14ac:dyDescent="0.3">
      <c r="A114">
        <v>138</v>
      </c>
      <c r="B114">
        <v>13.483024</v>
      </c>
      <c r="C114" t="s">
        <v>8</v>
      </c>
      <c r="D114" t="s">
        <v>9</v>
      </c>
      <c r="E114" t="s">
        <v>10</v>
      </c>
      <c r="F114">
        <v>66</v>
      </c>
      <c r="G114">
        <v>5.3523000000000001E-2</v>
      </c>
      <c r="H114" t="s">
        <v>115</v>
      </c>
      <c r="J114">
        <f t="shared" si="1"/>
        <v>5.3600000000000002E-2</v>
      </c>
    </row>
    <row r="115" spans="1:10" x14ac:dyDescent="0.3">
      <c r="A115">
        <v>139</v>
      </c>
      <c r="B115">
        <v>13.588032</v>
      </c>
      <c r="C115" t="s">
        <v>9</v>
      </c>
      <c r="D115" t="s">
        <v>8</v>
      </c>
      <c r="E115" t="s">
        <v>10</v>
      </c>
      <c r="F115">
        <v>60</v>
      </c>
      <c r="G115">
        <v>0.105008</v>
      </c>
      <c r="H115" t="s">
        <v>111</v>
      </c>
      <c r="J115">
        <f t="shared" si="1"/>
        <v>0.1051</v>
      </c>
    </row>
    <row r="116" spans="1:10" x14ac:dyDescent="0.3">
      <c r="A116">
        <v>140</v>
      </c>
      <c r="B116">
        <v>13.966538999999999</v>
      </c>
      <c r="C116" t="s">
        <v>8</v>
      </c>
      <c r="D116" t="s">
        <v>18</v>
      </c>
      <c r="E116" t="s">
        <v>22</v>
      </c>
      <c r="F116">
        <v>73</v>
      </c>
      <c r="G116">
        <v>0.37850699999999998</v>
      </c>
      <c r="H116" t="s">
        <v>116</v>
      </c>
      <c r="J116">
        <f t="shared" si="1"/>
        <v>0.37859999999999999</v>
      </c>
    </row>
    <row r="117" spans="1:10" x14ac:dyDescent="0.3">
      <c r="A117">
        <v>141</v>
      </c>
      <c r="B117">
        <v>13.967148999999999</v>
      </c>
      <c r="C117" t="s">
        <v>18</v>
      </c>
      <c r="D117" t="s">
        <v>8</v>
      </c>
      <c r="E117" t="s">
        <v>10</v>
      </c>
      <c r="F117">
        <v>60</v>
      </c>
      <c r="G117">
        <v>6.0999999999999997E-4</v>
      </c>
      <c r="H117" t="s">
        <v>117</v>
      </c>
      <c r="J117">
        <f t="shared" si="1"/>
        <v>6.9999999999999999E-4</v>
      </c>
    </row>
    <row r="118" spans="1:10" x14ac:dyDescent="0.3">
      <c r="A118">
        <v>142</v>
      </c>
      <c r="B118">
        <v>13.970492999999999</v>
      </c>
      <c r="C118" t="s">
        <v>18</v>
      </c>
      <c r="D118" t="s">
        <v>8</v>
      </c>
      <c r="E118" t="s">
        <v>22</v>
      </c>
      <c r="F118">
        <v>60</v>
      </c>
      <c r="G118">
        <v>3.3440000000000002E-3</v>
      </c>
      <c r="H118" t="s">
        <v>118</v>
      </c>
      <c r="J118">
        <f t="shared" si="1"/>
        <v>3.3999999999999998E-3</v>
      </c>
    </row>
    <row r="119" spans="1:10" x14ac:dyDescent="0.3">
      <c r="A119">
        <v>143</v>
      </c>
      <c r="B119">
        <v>13.971629999999999</v>
      </c>
      <c r="C119" t="s">
        <v>18</v>
      </c>
      <c r="D119" t="s">
        <v>8</v>
      </c>
      <c r="E119" t="s">
        <v>22</v>
      </c>
      <c r="F119">
        <v>73</v>
      </c>
      <c r="G119">
        <v>1.137E-3</v>
      </c>
      <c r="H119" t="s">
        <v>119</v>
      </c>
      <c r="J119">
        <f t="shared" si="1"/>
        <v>1.2000000000000001E-3</v>
      </c>
    </row>
    <row r="120" spans="1:10" x14ac:dyDescent="0.3">
      <c r="A120">
        <v>144</v>
      </c>
      <c r="B120">
        <v>13.971657</v>
      </c>
      <c r="C120" t="s">
        <v>8</v>
      </c>
      <c r="D120" t="s">
        <v>18</v>
      </c>
      <c r="E120" t="s">
        <v>10</v>
      </c>
      <c r="F120">
        <v>54</v>
      </c>
      <c r="G120">
        <v>2.6999999999999999E-5</v>
      </c>
      <c r="H120" t="s">
        <v>120</v>
      </c>
      <c r="J120">
        <f t="shared" si="1"/>
        <v>1E-4</v>
      </c>
    </row>
    <row r="121" spans="1:10" x14ac:dyDescent="0.3">
      <c r="A121">
        <v>145</v>
      </c>
      <c r="B121">
        <v>13.980127</v>
      </c>
      <c r="C121" t="s">
        <v>8</v>
      </c>
      <c r="D121" t="s">
        <v>18</v>
      </c>
      <c r="E121" t="s">
        <v>22</v>
      </c>
      <c r="F121">
        <v>58</v>
      </c>
      <c r="G121">
        <v>8.4700000000000001E-3</v>
      </c>
      <c r="H121" t="s">
        <v>121</v>
      </c>
      <c r="J121">
        <f t="shared" si="1"/>
        <v>8.4999999999999989E-3</v>
      </c>
    </row>
    <row r="122" spans="1:10" x14ac:dyDescent="0.3">
      <c r="A122">
        <v>147</v>
      </c>
      <c r="B122">
        <v>14.021276</v>
      </c>
      <c r="C122" t="s">
        <v>18</v>
      </c>
      <c r="D122" t="s">
        <v>8</v>
      </c>
      <c r="E122" t="s">
        <v>10</v>
      </c>
      <c r="F122">
        <v>60</v>
      </c>
      <c r="G122">
        <v>4.1148999999999998E-2</v>
      </c>
      <c r="H122" t="s">
        <v>122</v>
      </c>
      <c r="J122">
        <f t="shared" si="1"/>
        <v>4.1200000000000001E-2</v>
      </c>
    </row>
    <row r="123" spans="1:10" x14ac:dyDescent="0.3">
      <c r="A123">
        <v>148</v>
      </c>
      <c r="B123">
        <v>14.091870999999999</v>
      </c>
      <c r="C123" t="s">
        <v>8</v>
      </c>
      <c r="D123" t="s">
        <v>9</v>
      </c>
      <c r="E123" t="s">
        <v>10</v>
      </c>
      <c r="F123">
        <v>66</v>
      </c>
      <c r="G123">
        <v>7.0595000000000005E-2</v>
      </c>
      <c r="H123" t="s">
        <v>115</v>
      </c>
      <c r="J123">
        <f t="shared" si="1"/>
        <v>7.0599999999999996E-2</v>
      </c>
    </row>
    <row r="124" spans="1:10" x14ac:dyDescent="0.3">
      <c r="A124">
        <v>149</v>
      </c>
      <c r="B124">
        <v>14.097009999999999</v>
      </c>
      <c r="C124" t="s">
        <v>9</v>
      </c>
      <c r="D124" t="s">
        <v>8</v>
      </c>
      <c r="E124" t="s">
        <v>10</v>
      </c>
      <c r="F124">
        <v>60</v>
      </c>
      <c r="G124">
        <v>5.1390000000000003E-3</v>
      </c>
      <c r="H124" t="s">
        <v>111</v>
      </c>
      <c r="J124">
        <f t="shared" si="1"/>
        <v>5.2000000000000006E-3</v>
      </c>
    </row>
    <row r="125" spans="1:10" x14ac:dyDescent="0.3">
      <c r="A125">
        <v>150</v>
      </c>
      <c r="B125">
        <v>14.564870000000001</v>
      </c>
      <c r="C125" t="s">
        <v>18</v>
      </c>
      <c r="D125" t="s">
        <v>8</v>
      </c>
      <c r="E125" t="s">
        <v>22</v>
      </c>
      <c r="F125">
        <v>73</v>
      </c>
      <c r="G125">
        <v>0.46786</v>
      </c>
      <c r="H125" t="s">
        <v>123</v>
      </c>
      <c r="J125">
        <f t="shared" si="1"/>
        <v>0.46789999999999998</v>
      </c>
    </row>
    <row r="126" spans="1:10" x14ac:dyDescent="0.3">
      <c r="A126">
        <v>151</v>
      </c>
      <c r="B126">
        <v>14.566186999999999</v>
      </c>
      <c r="C126" t="s">
        <v>8</v>
      </c>
      <c r="D126" t="s">
        <v>18</v>
      </c>
      <c r="E126" t="s">
        <v>22</v>
      </c>
      <c r="F126">
        <v>58</v>
      </c>
      <c r="G126">
        <v>1.317E-3</v>
      </c>
      <c r="H126" t="s">
        <v>124</v>
      </c>
      <c r="J126">
        <f t="shared" si="1"/>
        <v>1.4E-3</v>
      </c>
    </row>
    <row r="127" spans="1:10" x14ac:dyDescent="0.3">
      <c r="A127">
        <v>152</v>
      </c>
      <c r="B127">
        <v>14.566687999999999</v>
      </c>
      <c r="C127" t="s">
        <v>18</v>
      </c>
      <c r="D127" t="s">
        <v>8</v>
      </c>
      <c r="E127" t="s">
        <v>10</v>
      </c>
      <c r="F127">
        <v>60</v>
      </c>
      <c r="G127">
        <v>5.0100000000000003E-4</v>
      </c>
      <c r="H127" t="s">
        <v>125</v>
      </c>
      <c r="J127">
        <f t="shared" si="1"/>
        <v>6.0000000000000006E-4</v>
      </c>
    </row>
    <row r="128" spans="1:10" x14ac:dyDescent="0.3">
      <c r="A128">
        <v>153</v>
      </c>
      <c r="B128">
        <v>14.605095</v>
      </c>
      <c r="C128" t="s">
        <v>8</v>
      </c>
      <c r="D128" t="s">
        <v>9</v>
      </c>
      <c r="E128" t="s">
        <v>10</v>
      </c>
      <c r="F128">
        <v>66</v>
      </c>
      <c r="G128">
        <v>3.8406999999999997E-2</v>
      </c>
      <c r="H128" t="s">
        <v>115</v>
      </c>
      <c r="J128">
        <f t="shared" si="1"/>
        <v>3.85E-2</v>
      </c>
    </row>
    <row r="129" spans="1:10" x14ac:dyDescent="0.3">
      <c r="A129">
        <v>154</v>
      </c>
      <c r="B129">
        <v>14.613192</v>
      </c>
      <c r="C129" t="s">
        <v>9</v>
      </c>
      <c r="D129" t="s">
        <v>8</v>
      </c>
      <c r="E129" t="s">
        <v>10</v>
      </c>
      <c r="F129">
        <v>60</v>
      </c>
      <c r="G129">
        <v>8.097E-3</v>
      </c>
      <c r="H129" t="s">
        <v>111</v>
      </c>
      <c r="J129">
        <f t="shared" si="1"/>
        <v>8.0999999999999996E-3</v>
      </c>
    </row>
    <row r="130" spans="1:10" x14ac:dyDescent="0.3">
      <c r="A130">
        <v>155</v>
      </c>
      <c r="B130">
        <v>15.072657</v>
      </c>
      <c r="C130" t="s">
        <v>8</v>
      </c>
      <c r="D130" t="s">
        <v>18</v>
      </c>
      <c r="E130" t="s">
        <v>22</v>
      </c>
      <c r="F130">
        <v>73</v>
      </c>
      <c r="G130">
        <v>0.45946500000000001</v>
      </c>
      <c r="H130" t="s">
        <v>126</v>
      </c>
      <c r="J130">
        <f t="shared" si="1"/>
        <v>0.45949999999999996</v>
      </c>
    </row>
    <row r="131" spans="1:10" x14ac:dyDescent="0.3">
      <c r="A131">
        <v>156</v>
      </c>
      <c r="B131">
        <v>15.073145</v>
      </c>
      <c r="C131" t="s">
        <v>18</v>
      </c>
      <c r="D131" t="s">
        <v>8</v>
      </c>
      <c r="E131" t="s">
        <v>10</v>
      </c>
      <c r="F131">
        <v>60</v>
      </c>
      <c r="G131">
        <v>4.8799999999999999E-4</v>
      </c>
      <c r="H131" t="s">
        <v>127</v>
      </c>
      <c r="J131">
        <f t="shared" si="1"/>
        <v>5.0000000000000001E-4</v>
      </c>
    </row>
    <row r="132" spans="1:10" x14ac:dyDescent="0.3">
      <c r="A132">
        <v>157</v>
      </c>
      <c r="B132">
        <v>15.077143</v>
      </c>
      <c r="C132" t="s">
        <v>18</v>
      </c>
      <c r="D132" t="s">
        <v>8</v>
      </c>
      <c r="E132" t="s">
        <v>22</v>
      </c>
      <c r="F132">
        <v>60</v>
      </c>
      <c r="G132">
        <v>3.9979999999999998E-3</v>
      </c>
      <c r="H132" t="s">
        <v>128</v>
      </c>
      <c r="J132">
        <f t="shared" ref="J132:J195" si="2">ROUNDUP(G132,4)</f>
        <v>4.0000000000000001E-3</v>
      </c>
    </row>
    <row r="133" spans="1:10" x14ac:dyDescent="0.3">
      <c r="A133">
        <v>158</v>
      </c>
      <c r="B133">
        <v>15.077966999999999</v>
      </c>
      <c r="C133" t="s">
        <v>18</v>
      </c>
      <c r="D133" t="s">
        <v>8</v>
      </c>
      <c r="E133" t="s">
        <v>22</v>
      </c>
      <c r="F133">
        <v>73</v>
      </c>
      <c r="G133">
        <v>8.2399999999999997E-4</v>
      </c>
      <c r="H133" t="s">
        <v>129</v>
      </c>
      <c r="J133">
        <f t="shared" si="2"/>
        <v>9.0000000000000008E-4</v>
      </c>
    </row>
    <row r="134" spans="1:10" x14ac:dyDescent="0.3">
      <c r="A134">
        <v>159</v>
      </c>
      <c r="B134">
        <v>15.077991000000001</v>
      </c>
      <c r="C134" t="s">
        <v>8</v>
      </c>
      <c r="D134" t="s">
        <v>18</v>
      </c>
      <c r="E134" t="s">
        <v>10</v>
      </c>
      <c r="F134">
        <v>54</v>
      </c>
      <c r="G134">
        <v>2.4000000000000001E-5</v>
      </c>
      <c r="H134" t="s">
        <v>130</v>
      </c>
      <c r="J134">
        <f t="shared" si="2"/>
        <v>1E-4</v>
      </c>
    </row>
    <row r="135" spans="1:10" x14ac:dyDescent="0.3">
      <c r="A135">
        <v>160</v>
      </c>
      <c r="B135">
        <v>15.085506000000001</v>
      </c>
      <c r="C135" t="s">
        <v>8</v>
      </c>
      <c r="D135" t="s">
        <v>18</v>
      </c>
      <c r="E135" t="s">
        <v>22</v>
      </c>
      <c r="F135">
        <v>58</v>
      </c>
      <c r="G135">
        <v>7.515E-3</v>
      </c>
      <c r="H135" t="s">
        <v>131</v>
      </c>
      <c r="J135">
        <f t="shared" si="2"/>
        <v>7.6E-3</v>
      </c>
    </row>
    <row r="136" spans="1:10" x14ac:dyDescent="0.3">
      <c r="A136">
        <v>161</v>
      </c>
      <c r="B136">
        <v>15.119243000000001</v>
      </c>
      <c r="C136" t="s">
        <v>8</v>
      </c>
      <c r="D136" t="s">
        <v>9</v>
      </c>
      <c r="E136" t="s">
        <v>10</v>
      </c>
      <c r="F136">
        <v>66</v>
      </c>
      <c r="G136">
        <v>3.3737000000000003E-2</v>
      </c>
      <c r="H136" t="s">
        <v>115</v>
      </c>
      <c r="J136">
        <f t="shared" si="2"/>
        <v>3.3800000000000004E-2</v>
      </c>
    </row>
    <row r="137" spans="1:10" x14ac:dyDescent="0.3">
      <c r="A137">
        <v>162</v>
      </c>
      <c r="B137">
        <v>15.129142</v>
      </c>
      <c r="C137" t="s">
        <v>18</v>
      </c>
      <c r="D137" t="s">
        <v>8</v>
      </c>
      <c r="E137" t="s">
        <v>10</v>
      </c>
      <c r="F137">
        <v>60</v>
      </c>
      <c r="G137">
        <v>9.8989999999999998E-3</v>
      </c>
      <c r="H137" t="s">
        <v>132</v>
      </c>
      <c r="J137">
        <f t="shared" si="2"/>
        <v>9.8999999999999991E-3</v>
      </c>
    </row>
    <row r="138" spans="1:10" x14ac:dyDescent="0.3">
      <c r="A138">
        <v>163</v>
      </c>
      <c r="B138">
        <v>15.224252</v>
      </c>
      <c r="C138" t="s">
        <v>9</v>
      </c>
      <c r="D138" t="s">
        <v>8</v>
      </c>
      <c r="E138" t="s">
        <v>10</v>
      </c>
      <c r="F138">
        <v>60</v>
      </c>
      <c r="G138">
        <v>9.511E-2</v>
      </c>
      <c r="H138" t="s">
        <v>111</v>
      </c>
      <c r="J138">
        <f t="shared" si="2"/>
        <v>9.5200000000000007E-2</v>
      </c>
    </row>
    <row r="139" spans="1:10" x14ac:dyDescent="0.3">
      <c r="A139">
        <v>164</v>
      </c>
      <c r="B139">
        <v>15.598656999999999</v>
      </c>
      <c r="C139" t="s">
        <v>18</v>
      </c>
      <c r="D139" t="s">
        <v>8</v>
      </c>
      <c r="E139" t="s">
        <v>22</v>
      </c>
      <c r="F139">
        <v>73</v>
      </c>
      <c r="G139">
        <v>0.37440499999999999</v>
      </c>
      <c r="H139" t="s">
        <v>133</v>
      </c>
      <c r="J139">
        <f t="shared" si="2"/>
        <v>0.3745</v>
      </c>
    </row>
    <row r="140" spans="1:10" x14ac:dyDescent="0.3">
      <c r="A140">
        <v>165</v>
      </c>
      <c r="B140">
        <v>15.600433000000001</v>
      </c>
      <c r="C140" t="s">
        <v>8</v>
      </c>
      <c r="D140" t="s">
        <v>18</v>
      </c>
      <c r="E140" t="s">
        <v>22</v>
      </c>
      <c r="F140">
        <v>58</v>
      </c>
      <c r="G140">
        <v>1.776E-3</v>
      </c>
      <c r="H140" t="s">
        <v>134</v>
      </c>
      <c r="J140">
        <f t="shared" si="2"/>
        <v>1.8E-3</v>
      </c>
    </row>
    <row r="141" spans="1:10" x14ac:dyDescent="0.3">
      <c r="A141">
        <v>166</v>
      </c>
      <c r="B141">
        <v>15.600839000000001</v>
      </c>
      <c r="C141" t="s">
        <v>18</v>
      </c>
      <c r="D141" t="s">
        <v>8</v>
      </c>
      <c r="E141" t="s">
        <v>10</v>
      </c>
      <c r="F141">
        <v>60</v>
      </c>
      <c r="G141">
        <v>4.06E-4</v>
      </c>
      <c r="H141" t="s">
        <v>135</v>
      </c>
      <c r="J141">
        <f t="shared" si="2"/>
        <v>5.0000000000000001E-4</v>
      </c>
    </row>
    <row r="142" spans="1:10" x14ac:dyDescent="0.3">
      <c r="A142">
        <v>167</v>
      </c>
      <c r="B142">
        <v>15.912610000000001</v>
      </c>
      <c r="C142" t="s">
        <v>8</v>
      </c>
      <c r="D142" t="s">
        <v>13</v>
      </c>
      <c r="E142" t="s">
        <v>10</v>
      </c>
      <c r="F142">
        <v>66</v>
      </c>
      <c r="G142">
        <v>0.31177100000000002</v>
      </c>
      <c r="H142" t="s">
        <v>30</v>
      </c>
      <c r="J142">
        <f t="shared" si="2"/>
        <v>0.31179999999999997</v>
      </c>
    </row>
    <row r="143" spans="1:10" x14ac:dyDescent="0.3">
      <c r="A143">
        <v>168</v>
      </c>
      <c r="B143">
        <v>15.912610000000001</v>
      </c>
      <c r="C143" t="s">
        <v>8</v>
      </c>
      <c r="D143" t="s">
        <v>15</v>
      </c>
      <c r="E143" t="s">
        <v>10</v>
      </c>
      <c r="F143">
        <v>66</v>
      </c>
      <c r="G143">
        <v>0</v>
      </c>
      <c r="H143" t="s">
        <v>29</v>
      </c>
      <c r="J143">
        <f t="shared" si="2"/>
        <v>0</v>
      </c>
    </row>
    <row r="144" spans="1:10" x14ac:dyDescent="0.3">
      <c r="A144">
        <v>170</v>
      </c>
      <c r="B144">
        <v>16.193480000000001</v>
      </c>
      <c r="C144" t="s">
        <v>8</v>
      </c>
      <c r="D144" t="s">
        <v>18</v>
      </c>
      <c r="E144" t="s">
        <v>22</v>
      </c>
      <c r="F144">
        <v>73</v>
      </c>
      <c r="G144">
        <v>0.28087000000000001</v>
      </c>
      <c r="H144" t="s">
        <v>136</v>
      </c>
      <c r="J144">
        <f t="shared" si="2"/>
        <v>0.28089999999999998</v>
      </c>
    </row>
    <row r="145" spans="1:10" x14ac:dyDescent="0.3">
      <c r="A145">
        <v>171</v>
      </c>
      <c r="B145">
        <v>16.194115</v>
      </c>
      <c r="C145" t="s">
        <v>18</v>
      </c>
      <c r="D145" t="s">
        <v>8</v>
      </c>
      <c r="E145" t="s">
        <v>10</v>
      </c>
      <c r="F145">
        <v>60</v>
      </c>
      <c r="G145">
        <v>6.3500000000000004E-4</v>
      </c>
      <c r="H145" t="s">
        <v>137</v>
      </c>
      <c r="J145">
        <f t="shared" si="2"/>
        <v>6.9999999999999999E-4</v>
      </c>
    </row>
    <row r="146" spans="1:10" x14ac:dyDescent="0.3">
      <c r="A146">
        <v>172</v>
      </c>
      <c r="B146">
        <v>16.198132999999999</v>
      </c>
      <c r="C146" t="s">
        <v>18</v>
      </c>
      <c r="D146" t="s">
        <v>8</v>
      </c>
      <c r="E146" t="s">
        <v>22</v>
      </c>
      <c r="F146">
        <v>60</v>
      </c>
      <c r="G146">
        <v>4.0179999999999999E-3</v>
      </c>
      <c r="H146" t="s">
        <v>138</v>
      </c>
      <c r="J146">
        <f t="shared" si="2"/>
        <v>4.1000000000000003E-3</v>
      </c>
    </row>
    <row r="147" spans="1:10" x14ac:dyDescent="0.3">
      <c r="A147">
        <v>173</v>
      </c>
      <c r="B147">
        <v>16.199092</v>
      </c>
      <c r="C147" t="s">
        <v>18</v>
      </c>
      <c r="D147" t="s">
        <v>8</v>
      </c>
      <c r="E147" t="s">
        <v>22</v>
      </c>
      <c r="F147">
        <v>73</v>
      </c>
      <c r="G147">
        <v>9.59E-4</v>
      </c>
      <c r="H147" t="s">
        <v>139</v>
      </c>
      <c r="J147">
        <f t="shared" si="2"/>
        <v>1E-3</v>
      </c>
    </row>
    <row r="148" spans="1:10" x14ac:dyDescent="0.3">
      <c r="A148">
        <v>174</v>
      </c>
      <c r="B148">
        <v>16.199117000000001</v>
      </c>
      <c r="C148" t="s">
        <v>8</v>
      </c>
      <c r="D148" t="s">
        <v>18</v>
      </c>
      <c r="E148" t="s">
        <v>10</v>
      </c>
      <c r="F148">
        <v>54</v>
      </c>
      <c r="G148">
        <v>2.5000000000000001E-5</v>
      </c>
      <c r="H148" t="s">
        <v>140</v>
      </c>
      <c r="J148">
        <f t="shared" si="2"/>
        <v>1E-4</v>
      </c>
    </row>
    <row r="149" spans="1:10" x14ac:dyDescent="0.3">
      <c r="A149">
        <v>175</v>
      </c>
      <c r="B149">
        <v>16.207981</v>
      </c>
      <c r="C149" t="s">
        <v>8</v>
      </c>
      <c r="D149" t="s">
        <v>18</v>
      </c>
      <c r="E149" t="s">
        <v>22</v>
      </c>
      <c r="F149">
        <v>58</v>
      </c>
      <c r="G149">
        <v>8.8640000000000004E-3</v>
      </c>
      <c r="H149" t="s">
        <v>141</v>
      </c>
      <c r="J149">
        <f t="shared" si="2"/>
        <v>8.8999999999999999E-3</v>
      </c>
    </row>
    <row r="150" spans="1:10" x14ac:dyDescent="0.3">
      <c r="A150">
        <v>176</v>
      </c>
      <c r="B150">
        <v>16.249147000000001</v>
      </c>
      <c r="C150" t="s">
        <v>18</v>
      </c>
      <c r="D150" t="s">
        <v>8</v>
      </c>
      <c r="E150" t="s">
        <v>10</v>
      </c>
      <c r="F150">
        <v>60</v>
      </c>
      <c r="G150">
        <v>4.1166000000000001E-2</v>
      </c>
      <c r="H150" t="s">
        <v>142</v>
      </c>
      <c r="J150">
        <f t="shared" si="2"/>
        <v>4.1200000000000001E-2</v>
      </c>
    </row>
    <row r="151" spans="1:10" x14ac:dyDescent="0.3">
      <c r="A151">
        <v>177</v>
      </c>
      <c r="B151">
        <v>16.738439</v>
      </c>
      <c r="C151" t="s">
        <v>18</v>
      </c>
      <c r="D151" t="s">
        <v>8</v>
      </c>
      <c r="E151" t="s">
        <v>22</v>
      </c>
      <c r="F151">
        <v>73</v>
      </c>
      <c r="G151">
        <v>0.489292</v>
      </c>
      <c r="H151" t="s">
        <v>143</v>
      </c>
      <c r="J151">
        <f t="shared" si="2"/>
        <v>0.48930000000000001</v>
      </c>
    </row>
    <row r="152" spans="1:10" x14ac:dyDescent="0.3">
      <c r="A152">
        <v>178</v>
      </c>
      <c r="B152">
        <v>16.739747999999999</v>
      </c>
      <c r="C152" t="s">
        <v>8</v>
      </c>
      <c r="D152" t="s">
        <v>18</v>
      </c>
      <c r="E152" t="s">
        <v>22</v>
      </c>
      <c r="F152">
        <v>58</v>
      </c>
      <c r="G152">
        <v>1.3090000000000001E-3</v>
      </c>
      <c r="H152" t="s">
        <v>144</v>
      </c>
      <c r="J152">
        <f t="shared" si="2"/>
        <v>1.4E-3</v>
      </c>
    </row>
    <row r="153" spans="1:10" x14ac:dyDescent="0.3">
      <c r="A153">
        <v>179</v>
      </c>
      <c r="B153">
        <v>16.740134999999999</v>
      </c>
      <c r="C153" t="s">
        <v>18</v>
      </c>
      <c r="D153" t="s">
        <v>8</v>
      </c>
      <c r="E153" t="s">
        <v>10</v>
      </c>
      <c r="F153">
        <v>60</v>
      </c>
      <c r="G153">
        <v>3.8699999999999997E-4</v>
      </c>
      <c r="H153" t="s">
        <v>145</v>
      </c>
      <c r="J153">
        <f t="shared" si="2"/>
        <v>3.9999999999999996E-4</v>
      </c>
    </row>
    <row r="154" spans="1:10" x14ac:dyDescent="0.3">
      <c r="A154">
        <v>180</v>
      </c>
      <c r="B154">
        <v>16.924237999999999</v>
      </c>
      <c r="C154" t="s">
        <v>8</v>
      </c>
      <c r="D154" t="s">
        <v>31</v>
      </c>
      <c r="E154" t="s">
        <v>10</v>
      </c>
      <c r="F154">
        <v>66</v>
      </c>
      <c r="G154">
        <v>0.18410299999999999</v>
      </c>
      <c r="H154" t="s">
        <v>33</v>
      </c>
      <c r="J154">
        <f t="shared" si="2"/>
        <v>0.1842</v>
      </c>
    </row>
    <row r="155" spans="1:10" x14ac:dyDescent="0.3">
      <c r="A155">
        <v>181</v>
      </c>
      <c r="B155">
        <v>17.282859999999999</v>
      </c>
      <c r="C155" t="s">
        <v>8</v>
      </c>
      <c r="D155" t="s">
        <v>18</v>
      </c>
      <c r="E155" t="s">
        <v>22</v>
      </c>
      <c r="F155">
        <v>73</v>
      </c>
      <c r="G155">
        <v>0.358622</v>
      </c>
      <c r="H155" t="s">
        <v>146</v>
      </c>
      <c r="J155">
        <f t="shared" si="2"/>
        <v>0.35869999999999996</v>
      </c>
    </row>
    <row r="156" spans="1:10" x14ac:dyDescent="0.3">
      <c r="A156">
        <v>182</v>
      </c>
      <c r="B156">
        <v>17.283515000000001</v>
      </c>
      <c r="C156" t="s">
        <v>18</v>
      </c>
      <c r="D156" t="s">
        <v>8</v>
      </c>
      <c r="E156" t="s">
        <v>10</v>
      </c>
      <c r="F156">
        <v>60</v>
      </c>
      <c r="G156">
        <v>6.5499999999999998E-4</v>
      </c>
      <c r="H156" t="s">
        <v>147</v>
      </c>
      <c r="J156">
        <f t="shared" si="2"/>
        <v>6.9999999999999999E-4</v>
      </c>
    </row>
    <row r="157" spans="1:10" x14ac:dyDescent="0.3">
      <c r="A157">
        <v>183</v>
      </c>
      <c r="B157">
        <v>17.287804999999999</v>
      </c>
      <c r="C157" t="s">
        <v>18</v>
      </c>
      <c r="D157" t="s">
        <v>8</v>
      </c>
      <c r="E157" t="s">
        <v>22</v>
      </c>
      <c r="F157">
        <v>60</v>
      </c>
      <c r="G157">
        <v>4.2900000000000004E-3</v>
      </c>
      <c r="H157" t="s">
        <v>148</v>
      </c>
      <c r="J157">
        <f t="shared" si="2"/>
        <v>4.3E-3</v>
      </c>
    </row>
    <row r="158" spans="1:10" x14ac:dyDescent="0.3">
      <c r="A158">
        <v>184</v>
      </c>
      <c r="B158">
        <v>17.288958000000001</v>
      </c>
      <c r="C158" t="s">
        <v>18</v>
      </c>
      <c r="D158" t="s">
        <v>8</v>
      </c>
      <c r="E158" t="s">
        <v>22</v>
      </c>
      <c r="F158">
        <v>73</v>
      </c>
      <c r="G158">
        <v>1.1529999999999999E-3</v>
      </c>
      <c r="H158" t="s">
        <v>149</v>
      </c>
      <c r="J158">
        <f t="shared" si="2"/>
        <v>1.2000000000000001E-3</v>
      </c>
    </row>
    <row r="159" spans="1:10" x14ac:dyDescent="0.3">
      <c r="A159">
        <v>185</v>
      </c>
      <c r="B159">
        <v>17.288982000000001</v>
      </c>
      <c r="C159" t="s">
        <v>8</v>
      </c>
      <c r="D159" t="s">
        <v>18</v>
      </c>
      <c r="E159" t="s">
        <v>10</v>
      </c>
      <c r="F159">
        <v>54</v>
      </c>
      <c r="G159">
        <v>2.4000000000000001E-5</v>
      </c>
      <c r="H159" t="s">
        <v>150</v>
      </c>
      <c r="J159">
        <f t="shared" si="2"/>
        <v>1E-4</v>
      </c>
    </row>
    <row r="160" spans="1:10" x14ac:dyDescent="0.3">
      <c r="A160">
        <v>186</v>
      </c>
      <c r="B160">
        <v>17.296544999999998</v>
      </c>
      <c r="C160" t="s">
        <v>8</v>
      </c>
      <c r="D160" t="s">
        <v>18</v>
      </c>
      <c r="E160" t="s">
        <v>22</v>
      </c>
      <c r="F160">
        <v>58</v>
      </c>
      <c r="G160">
        <v>7.5630000000000003E-3</v>
      </c>
      <c r="H160" t="s">
        <v>151</v>
      </c>
      <c r="J160">
        <f t="shared" si="2"/>
        <v>7.6E-3</v>
      </c>
    </row>
    <row r="161" spans="1:10" x14ac:dyDescent="0.3">
      <c r="A161">
        <v>187</v>
      </c>
      <c r="B161">
        <v>17.337250000000001</v>
      </c>
      <c r="C161" t="s">
        <v>18</v>
      </c>
      <c r="D161" t="s">
        <v>8</v>
      </c>
      <c r="E161" t="s">
        <v>10</v>
      </c>
      <c r="F161">
        <v>60</v>
      </c>
      <c r="G161">
        <v>4.0704999999999998E-2</v>
      </c>
      <c r="H161" t="s">
        <v>152</v>
      </c>
      <c r="J161">
        <f t="shared" si="2"/>
        <v>4.0800000000000003E-2</v>
      </c>
    </row>
    <row r="162" spans="1:10" x14ac:dyDescent="0.3">
      <c r="A162">
        <v>188</v>
      </c>
      <c r="B162">
        <v>17.833113000000001</v>
      </c>
      <c r="C162" t="s">
        <v>18</v>
      </c>
      <c r="D162" t="s">
        <v>8</v>
      </c>
      <c r="E162" t="s">
        <v>22</v>
      </c>
      <c r="F162">
        <v>73</v>
      </c>
      <c r="G162">
        <v>0.495863</v>
      </c>
      <c r="H162" t="s">
        <v>153</v>
      </c>
      <c r="J162">
        <f t="shared" si="2"/>
        <v>0.49590000000000001</v>
      </c>
    </row>
    <row r="163" spans="1:10" x14ac:dyDescent="0.3">
      <c r="A163">
        <v>189</v>
      </c>
      <c r="B163">
        <v>17.834603000000001</v>
      </c>
      <c r="C163" t="s">
        <v>8</v>
      </c>
      <c r="D163" t="s">
        <v>18</v>
      </c>
      <c r="E163" t="s">
        <v>22</v>
      </c>
      <c r="F163">
        <v>58</v>
      </c>
      <c r="G163">
        <v>1.49E-3</v>
      </c>
      <c r="H163" t="s">
        <v>154</v>
      </c>
      <c r="J163">
        <f t="shared" si="2"/>
        <v>1.5E-3</v>
      </c>
    </row>
    <row r="164" spans="1:10" x14ac:dyDescent="0.3">
      <c r="A164">
        <v>190</v>
      </c>
      <c r="B164">
        <v>17.835039999999999</v>
      </c>
      <c r="C164" t="s">
        <v>18</v>
      </c>
      <c r="D164" t="s">
        <v>8</v>
      </c>
      <c r="E164" t="s">
        <v>10</v>
      </c>
      <c r="F164">
        <v>60</v>
      </c>
      <c r="G164">
        <v>4.37E-4</v>
      </c>
      <c r="H164" t="s">
        <v>155</v>
      </c>
      <c r="J164">
        <f t="shared" si="2"/>
        <v>5.0000000000000001E-4</v>
      </c>
    </row>
    <row r="165" spans="1:10" x14ac:dyDescent="0.3">
      <c r="A165">
        <v>196</v>
      </c>
      <c r="B165">
        <v>18.401368999999999</v>
      </c>
      <c r="C165" t="s">
        <v>8</v>
      </c>
      <c r="D165" t="s">
        <v>18</v>
      </c>
      <c r="E165" t="s">
        <v>22</v>
      </c>
      <c r="F165">
        <v>73</v>
      </c>
      <c r="G165">
        <v>0.56632899999999997</v>
      </c>
      <c r="H165" t="s">
        <v>156</v>
      </c>
      <c r="J165">
        <f t="shared" si="2"/>
        <v>0.56640000000000001</v>
      </c>
    </row>
    <row r="166" spans="1:10" x14ac:dyDescent="0.3">
      <c r="A166">
        <v>197</v>
      </c>
      <c r="B166">
        <v>18.401772000000001</v>
      </c>
      <c r="C166" t="s">
        <v>18</v>
      </c>
      <c r="D166" t="s">
        <v>8</v>
      </c>
      <c r="E166" t="s">
        <v>10</v>
      </c>
      <c r="F166">
        <v>60</v>
      </c>
      <c r="G166">
        <v>4.0299999999999998E-4</v>
      </c>
      <c r="H166" t="s">
        <v>157</v>
      </c>
      <c r="J166">
        <f t="shared" si="2"/>
        <v>5.0000000000000001E-4</v>
      </c>
    </row>
    <row r="167" spans="1:10" x14ac:dyDescent="0.3">
      <c r="A167">
        <v>198</v>
      </c>
      <c r="B167">
        <v>18.412980999999998</v>
      </c>
      <c r="C167" t="s">
        <v>18</v>
      </c>
      <c r="D167" t="s">
        <v>8</v>
      </c>
      <c r="E167" t="s">
        <v>22</v>
      </c>
      <c r="F167">
        <v>60</v>
      </c>
      <c r="G167">
        <v>1.1209E-2</v>
      </c>
      <c r="H167" t="s">
        <v>158</v>
      </c>
      <c r="J167">
        <f t="shared" si="2"/>
        <v>1.1299999999999999E-2</v>
      </c>
    </row>
    <row r="168" spans="1:10" x14ac:dyDescent="0.3">
      <c r="A168">
        <v>199</v>
      </c>
      <c r="B168">
        <v>18.412980999999998</v>
      </c>
      <c r="C168" t="s">
        <v>18</v>
      </c>
      <c r="D168" t="s">
        <v>8</v>
      </c>
      <c r="E168" t="s">
        <v>22</v>
      </c>
      <c r="F168">
        <v>73</v>
      </c>
      <c r="G168">
        <v>0</v>
      </c>
      <c r="H168" t="s">
        <v>159</v>
      </c>
      <c r="J168">
        <f t="shared" si="2"/>
        <v>0</v>
      </c>
    </row>
    <row r="169" spans="1:10" x14ac:dyDescent="0.3">
      <c r="A169">
        <v>200</v>
      </c>
      <c r="B169">
        <v>18.413048</v>
      </c>
      <c r="C169" t="s">
        <v>8</v>
      </c>
      <c r="D169" t="s">
        <v>18</v>
      </c>
      <c r="E169" t="s">
        <v>10</v>
      </c>
      <c r="F169">
        <v>54</v>
      </c>
      <c r="G169">
        <v>6.7000000000000002E-5</v>
      </c>
      <c r="H169" t="s">
        <v>160</v>
      </c>
      <c r="J169">
        <f t="shared" si="2"/>
        <v>1E-4</v>
      </c>
    </row>
    <row r="170" spans="1:10" x14ac:dyDescent="0.3">
      <c r="A170">
        <v>201</v>
      </c>
      <c r="B170">
        <v>18.42625</v>
      </c>
      <c r="C170" t="s">
        <v>8</v>
      </c>
      <c r="D170" t="s">
        <v>18</v>
      </c>
      <c r="E170" t="s">
        <v>22</v>
      </c>
      <c r="F170">
        <v>58</v>
      </c>
      <c r="G170">
        <v>1.3202E-2</v>
      </c>
      <c r="H170" t="s">
        <v>161</v>
      </c>
      <c r="J170">
        <f t="shared" si="2"/>
        <v>1.3299999999999999E-2</v>
      </c>
    </row>
    <row r="171" spans="1:10" x14ac:dyDescent="0.3">
      <c r="A171">
        <v>202</v>
      </c>
      <c r="B171">
        <v>18.46942</v>
      </c>
      <c r="C171" t="s">
        <v>18</v>
      </c>
      <c r="D171" t="s">
        <v>8</v>
      </c>
      <c r="E171" t="s">
        <v>10</v>
      </c>
      <c r="F171">
        <v>60</v>
      </c>
      <c r="G171">
        <v>4.317E-2</v>
      </c>
      <c r="H171" t="s">
        <v>162</v>
      </c>
      <c r="J171">
        <f t="shared" si="2"/>
        <v>4.3200000000000002E-2</v>
      </c>
    </row>
    <row r="172" spans="1:10" x14ac:dyDescent="0.3">
      <c r="A172">
        <v>205</v>
      </c>
      <c r="B172">
        <v>18.945146999999999</v>
      </c>
      <c r="C172" t="s">
        <v>18</v>
      </c>
      <c r="D172" t="s">
        <v>8</v>
      </c>
      <c r="E172" t="s">
        <v>22</v>
      </c>
      <c r="F172">
        <v>73</v>
      </c>
      <c r="G172">
        <v>0.47572700000000001</v>
      </c>
      <c r="H172" t="s">
        <v>163</v>
      </c>
      <c r="J172">
        <f t="shared" si="2"/>
        <v>0.4758</v>
      </c>
    </row>
    <row r="173" spans="1:10" x14ac:dyDescent="0.3">
      <c r="A173">
        <v>206</v>
      </c>
      <c r="B173">
        <v>18.946717</v>
      </c>
      <c r="C173" t="s">
        <v>8</v>
      </c>
      <c r="D173" t="s">
        <v>18</v>
      </c>
      <c r="E173" t="s">
        <v>22</v>
      </c>
      <c r="F173">
        <v>58</v>
      </c>
      <c r="G173">
        <v>1.57E-3</v>
      </c>
      <c r="H173" t="s">
        <v>164</v>
      </c>
      <c r="J173">
        <f t="shared" si="2"/>
        <v>1.6000000000000001E-3</v>
      </c>
    </row>
    <row r="174" spans="1:10" x14ac:dyDescent="0.3">
      <c r="A174">
        <v>207</v>
      </c>
      <c r="B174">
        <v>18.947127999999999</v>
      </c>
      <c r="C174" t="s">
        <v>18</v>
      </c>
      <c r="D174" t="s">
        <v>8</v>
      </c>
      <c r="E174" t="s">
        <v>10</v>
      </c>
      <c r="F174">
        <v>60</v>
      </c>
      <c r="G174">
        <v>4.1100000000000002E-4</v>
      </c>
      <c r="H174" t="s">
        <v>165</v>
      </c>
      <c r="J174">
        <f t="shared" si="2"/>
        <v>5.0000000000000001E-4</v>
      </c>
    </row>
    <row r="175" spans="1:10" x14ac:dyDescent="0.3">
      <c r="A175">
        <v>208</v>
      </c>
      <c r="B175">
        <v>19.525995000000002</v>
      </c>
      <c r="C175" t="s">
        <v>8</v>
      </c>
      <c r="D175" t="s">
        <v>18</v>
      </c>
      <c r="E175" t="s">
        <v>22</v>
      </c>
      <c r="F175">
        <v>73</v>
      </c>
      <c r="G175">
        <v>0.57886700000000002</v>
      </c>
      <c r="H175" t="s">
        <v>166</v>
      </c>
      <c r="J175">
        <f t="shared" si="2"/>
        <v>0.57889999999999997</v>
      </c>
    </row>
    <row r="176" spans="1:10" x14ac:dyDescent="0.3">
      <c r="A176">
        <v>209</v>
      </c>
      <c r="B176">
        <v>19.526634000000001</v>
      </c>
      <c r="C176" t="s">
        <v>18</v>
      </c>
      <c r="D176" t="s">
        <v>8</v>
      </c>
      <c r="E176" t="s">
        <v>10</v>
      </c>
      <c r="F176">
        <v>60</v>
      </c>
      <c r="G176">
        <v>6.3900000000000003E-4</v>
      </c>
      <c r="H176" t="s">
        <v>167</v>
      </c>
      <c r="J176">
        <f t="shared" si="2"/>
        <v>6.9999999999999999E-4</v>
      </c>
    </row>
    <row r="177" spans="1:10" x14ac:dyDescent="0.3">
      <c r="A177">
        <v>210</v>
      </c>
      <c r="B177">
        <v>19.530398000000002</v>
      </c>
      <c r="C177" t="s">
        <v>18</v>
      </c>
      <c r="D177" t="s">
        <v>8</v>
      </c>
      <c r="E177" t="s">
        <v>22</v>
      </c>
      <c r="F177">
        <v>60</v>
      </c>
      <c r="G177">
        <v>3.764E-3</v>
      </c>
      <c r="H177" t="s">
        <v>168</v>
      </c>
      <c r="J177">
        <f t="shared" si="2"/>
        <v>3.8E-3</v>
      </c>
    </row>
    <row r="178" spans="1:10" x14ac:dyDescent="0.3">
      <c r="A178">
        <v>211</v>
      </c>
      <c r="B178">
        <v>19.531438000000001</v>
      </c>
      <c r="C178" t="s">
        <v>18</v>
      </c>
      <c r="D178" t="s">
        <v>8</v>
      </c>
      <c r="E178" t="s">
        <v>22</v>
      </c>
      <c r="F178">
        <v>73</v>
      </c>
      <c r="G178">
        <v>1.0399999999999999E-3</v>
      </c>
      <c r="H178" t="s">
        <v>169</v>
      </c>
      <c r="J178">
        <f t="shared" si="2"/>
        <v>1.1000000000000001E-3</v>
      </c>
    </row>
    <row r="179" spans="1:10" x14ac:dyDescent="0.3">
      <c r="A179">
        <v>212</v>
      </c>
      <c r="B179">
        <v>19.531462000000001</v>
      </c>
      <c r="C179" t="s">
        <v>8</v>
      </c>
      <c r="D179" t="s">
        <v>18</v>
      </c>
      <c r="E179" t="s">
        <v>10</v>
      </c>
      <c r="F179">
        <v>54</v>
      </c>
      <c r="G179">
        <v>2.4000000000000001E-5</v>
      </c>
      <c r="H179" t="s">
        <v>170</v>
      </c>
      <c r="J179">
        <f t="shared" si="2"/>
        <v>1E-4</v>
      </c>
    </row>
    <row r="180" spans="1:10" x14ac:dyDescent="0.3">
      <c r="A180">
        <v>213</v>
      </c>
      <c r="B180">
        <v>19.538989000000001</v>
      </c>
      <c r="C180" t="s">
        <v>8</v>
      </c>
      <c r="D180" t="s">
        <v>18</v>
      </c>
      <c r="E180" t="s">
        <v>22</v>
      </c>
      <c r="F180">
        <v>58</v>
      </c>
      <c r="G180">
        <v>7.5269999999999998E-3</v>
      </c>
      <c r="H180" t="s">
        <v>171</v>
      </c>
      <c r="J180">
        <f t="shared" si="2"/>
        <v>7.6E-3</v>
      </c>
    </row>
    <row r="181" spans="1:10" x14ac:dyDescent="0.3">
      <c r="A181">
        <v>214</v>
      </c>
      <c r="B181">
        <v>19.581230999999999</v>
      </c>
      <c r="C181" t="s">
        <v>18</v>
      </c>
      <c r="D181" t="s">
        <v>8</v>
      </c>
      <c r="E181" t="s">
        <v>10</v>
      </c>
      <c r="F181">
        <v>60</v>
      </c>
      <c r="G181">
        <v>4.2242000000000002E-2</v>
      </c>
      <c r="H181" t="s">
        <v>172</v>
      </c>
      <c r="J181">
        <f t="shared" si="2"/>
        <v>4.2300000000000004E-2</v>
      </c>
    </row>
    <row r="182" spans="1:10" x14ac:dyDescent="0.3">
      <c r="A182">
        <v>216</v>
      </c>
      <c r="B182">
        <v>20.106566000000001</v>
      </c>
      <c r="C182" t="s">
        <v>18</v>
      </c>
      <c r="D182" t="s">
        <v>8</v>
      </c>
      <c r="E182" t="s">
        <v>22</v>
      </c>
      <c r="F182">
        <v>73</v>
      </c>
      <c r="G182">
        <v>0.525335</v>
      </c>
      <c r="H182" t="s">
        <v>173</v>
      </c>
      <c r="J182">
        <f t="shared" si="2"/>
        <v>0.52539999999999998</v>
      </c>
    </row>
    <row r="183" spans="1:10" x14ac:dyDescent="0.3">
      <c r="A183">
        <v>217</v>
      </c>
      <c r="B183">
        <v>20.108039000000002</v>
      </c>
      <c r="C183" t="s">
        <v>8</v>
      </c>
      <c r="D183" t="s">
        <v>18</v>
      </c>
      <c r="E183" t="s">
        <v>22</v>
      </c>
      <c r="F183">
        <v>58</v>
      </c>
      <c r="G183">
        <v>1.4729999999999999E-3</v>
      </c>
      <c r="H183" t="s">
        <v>174</v>
      </c>
      <c r="J183">
        <f t="shared" si="2"/>
        <v>1.5E-3</v>
      </c>
    </row>
    <row r="184" spans="1:10" x14ac:dyDescent="0.3">
      <c r="A184">
        <v>218</v>
      </c>
      <c r="B184">
        <v>20.115798999999999</v>
      </c>
      <c r="C184" t="s">
        <v>18</v>
      </c>
      <c r="D184" t="s">
        <v>8</v>
      </c>
      <c r="E184" t="s">
        <v>10</v>
      </c>
      <c r="F184">
        <v>60</v>
      </c>
      <c r="G184">
        <v>7.7600000000000004E-3</v>
      </c>
      <c r="H184" t="s">
        <v>175</v>
      </c>
      <c r="J184">
        <f t="shared" si="2"/>
        <v>7.8000000000000005E-3</v>
      </c>
    </row>
    <row r="185" spans="1:10" x14ac:dyDescent="0.3">
      <c r="A185">
        <v>219</v>
      </c>
      <c r="B185">
        <v>20.641549999999999</v>
      </c>
      <c r="C185" t="s">
        <v>8</v>
      </c>
      <c r="D185" t="s">
        <v>18</v>
      </c>
      <c r="E185" t="s">
        <v>22</v>
      </c>
      <c r="F185">
        <v>73</v>
      </c>
      <c r="G185">
        <v>0.52575099999999997</v>
      </c>
      <c r="H185" t="s">
        <v>176</v>
      </c>
      <c r="J185">
        <f t="shared" si="2"/>
        <v>0.52579999999999993</v>
      </c>
    </row>
    <row r="186" spans="1:10" x14ac:dyDescent="0.3">
      <c r="A186">
        <v>220</v>
      </c>
      <c r="B186">
        <v>20.641995999999999</v>
      </c>
      <c r="C186" t="s">
        <v>18</v>
      </c>
      <c r="D186" t="s">
        <v>8</v>
      </c>
      <c r="E186" t="s">
        <v>10</v>
      </c>
      <c r="F186">
        <v>60</v>
      </c>
      <c r="G186">
        <v>4.46E-4</v>
      </c>
      <c r="H186" t="s">
        <v>177</v>
      </c>
      <c r="J186">
        <f t="shared" si="2"/>
        <v>5.0000000000000001E-4</v>
      </c>
    </row>
    <row r="187" spans="1:10" x14ac:dyDescent="0.3">
      <c r="A187">
        <v>221</v>
      </c>
      <c r="B187">
        <v>20.646083999999998</v>
      </c>
      <c r="C187" t="s">
        <v>18</v>
      </c>
      <c r="D187" t="s">
        <v>8</v>
      </c>
      <c r="E187" t="s">
        <v>22</v>
      </c>
      <c r="F187">
        <v>60</v>
      </c>
      <c r="G187">
        <v>4.0879999999999996E-3</v>
      </c>
      <c r="H187" t="s">
        <v>178</v>
      </c>
      <c r="J187">
        <f t="shared" si="2"/>
        <v>4.1000000000000003E-3</v>
      </c>
    </row>
    <row r="188" spans="1:10" x14ac:dyDescent="0.3">
      <c r="A188">
        <v>222</v>
      </c>
      <c r="B188">
        <v>20.64716</v>
      </c>
      <c r="C188" t="s">
        <v>18</v>
      </c>
      <c r="D188" t="s">
        <v>8</v>
      </c>
      <c r="E188" t="s">
        <v>22</v>
      </c>
      <c r="F188">
        <v>73</v>
      </c>
      <c r="G188">
        <v>1.0759999999999999E-3</v>
      </c>
      <c r="H188" t="s">
        <v>179</v>
      </c>
      <c r="J188">
        <f t="shared" si="2"/>
        <v>1.1000000000000001E-3</v>
      </c>
    </row>
    <row r="189" spans="1:10" x14ac:dyDescent="0.3">
      <c r="A189">
        <v>223</v>
      </c>
      <c r="B189">
        <v>20.647183999999999</v>
      </c>
      <c r="C189" t="s">
        <v>8</v>
      </c>
      <c r="D189" t="s">
        <v>18</v>
      </c>
      <c r="E189" t="s">
        <v>10</v>
      </c>
      <c r="F189">
        <v>54</v>
      </c>
      <c r="G189">
        <v>2.4000000000000001E-5</v>
      </c>
      <c r="H189" t="s">
        <v>180</v>
      </c>
      <c r="J189">
        <f t="shared" si="2"/>
        <v>1E-4</v>
      </c>
    </row>
    <row r="190" spans="1:10" x14ac:dyDescent="0.3">
      <c r="A190">
        <v>224</v>
      </c>
      <c r="B190">
        <v>20.660530000000001</v>
      </c>
      <c r="C190" t="s">
        <v>8</v>
      </c>
      <c r="D190" t="s">
        <v>18</v>
      </c>
      <c r="E190" t="s">
        <v>22</v>
      </c>
      <c r="F190">
        <v>58</v>
      </c>
      <c r="G190">
        <v>1.3346E-2</v>
      </c>
      <c r="H190" t="s">
        <v>181</v>
      </c>
      <c r="J190">
        <f t="shared" si="2"/>
        <v>1.3399999999999999E-2</v>
      </c>
    </row>
    <row r="191" spans="1:10" x14ac:dyDescent="0.3">
      <c r="A191">
        <v>225</v>
      </c>
      <c r="B191">
        <v>20.705228999999999</v>
      </c>
      <c r="C191" t="s">
        <v>18</v>
      </c>
      <c r="D191" t="s">
        <v>8</v>
      </c>
      <c r="E191" t="s">
        <v>10</v>
      </c>
      <c r="F191">
        <v>60</v>
      </c>
      <c r="G191">
        <v>4.4699000000000003E-2</v>
      </c>
      <c r="H191" t="s">
        <v>182</v>
      </c>
      <c r="J191">
        <f t="shared" si="2"/>
        <v>4.4700000000000004E-2</v>
      </c>
    </row>
    <row r="192" spans="1:10" x14ac:dyDescent="0.3">
      <c r="A192">
        <v>226</v>
      </c>
      <c r="B192">
        <v>21.212869000000001</v>
      </c>
      <c r="C192" t="s">
        <v>18</v>
      </c>
      <c r="D192" t="s">
        <v>8</v>
      </c>
      <c r="E192" t="s">
        <v>22</v>
      </c>
      <c r="F192">
        <v>73</v>
      </c>
      <c r="G192">
        <v>0.50763999999999998</v>
      </c>
      <c r="H192" t="s">
        <v>183</v>
      </c>
      <c r="J192">
        <f t="shared" si="2"/>
        <v>0.50770000000000004</v>
      </c>
    </row>
    <row r="193" spans="1:10" x14ac:dyDescent="0.3">
      <c r="A193">
        <v>227</v>
      </c>
      <c r="B193">
        <v>21.214265999999999</v>
      </c>
      <c r="C193" t="s">
        <v>8</v>
      </c>
      <c r="D193" t="s">
        <v>18</v>
      </c>
      <c r="E193" t="s">
        <v>22</v>
      </c>
      <c r="F193">
        <v>58</v>
      </c>
      <c r="G193">
        <v>1.397E-3</v>
      </c>
      <c r="H193" t="s">
        <v>184</v>
      </c>
      <c r="J193">
        <f t="shared" si="2"/>
        <v>1.4E-3</v>
      </c>
    </row>
    <row r="194" spans="1:10" x14ac:dyDescent="0.3">
      <c r="A194">
        <v>228</v>
      </c>
      <c r="B194">
        <v>21.214663000000002</v>
      </c>
      <c r="C194" t="s">
        <v>18</v>
      </c>
      <c r="D194" t="s">
        <v>8</v>
      </c>
      <c r="E194" t="s">
        <v>10</v>
      </c>
      <c r="F194">
        <v>60</v>
      </c>
      <c r="G194">
        <v>3.97E-4</v>
      </c>
      <c r="H194" t="s">
        <v>185</v>
      </c>
      <c r="J194">
        <f t="shared" si="2"/>
        <v>3.9999999999999996E-4</v>
      </c>
    </row>
    <row r="195" spans="1:10" x14ac:dyDescent="0.3">
      <c r="A195">
        <v>229</v>
      </c>
      <c r="B195">
        <v>21.702580999999999</v>
      </c>
      <c r="C195" t="s">
        <v>8</v>
      </c>
      <c r="D195" t="s">
        <v>18</v>
      </c>
      <c r="E195" t="s">
        <v>22</v>
      </c>
      <c r="F195">
        <v>73</v>
      </c>
      <c r="G195">
        <v>0.48791800000000002</v>
      </c>
      <c r="H195" t="s">
        <v>186</v>
      </c>
      <c r="J195">
        <f t="shared" si="2"/>
        <v>0.48799999999999999</v>
      </c>
    </row>
    <row r="196" spans="1:10" x14ac:dyDescent="0.3">
      <c r="A196">
        <v>230</v>
      </c>
      <c r="B196">
        <v>21.703281</v>
      </c>
      <c r="C196" t="s">
        <v>18</v>
      </c>
      <c r="D196" t="s">
        <v>8</v>
      </c>
      <c r="E196" t="s">
        <v>10</v>
      </c>
      <c r="F196">
        <v>60</v>
      </c>
      <c r="G196">
        <v>6.9999999999999999E-4</v>
      </c>
      <c r="H196" t="s">
        <v>187</v>
      </c>
      <c r="J196">
        <f t="shared" ref="J196:J259" si="3">ROUNDUP(G196,4)</f>
        <v>6.9999999999999999E-4</v>
      </c>
    </row>
    <row r="197" spans="1:10" x14ac:dyDescent="0.3">
      <c r="A197">
        <v>231</v>
      </c>
      <c r="B197">
        <v>21.708168000000001</v>
      </c>
      <c r="C197" t="s">
        <v>18</v>
      </c>
      <c r="D197" t="s">
        <v>8</v>
      </c>
      <c r="E197" t="s">
        <v>22</v>
      </c>
      <c r="F197">
        <v>60</v>
      </c>
      <c r="G197">
        <v>4.8869999999999999E-3</v>
      </c>
      <c r="H197" t="s">
        <v>188</v>
      </c>
      <c r="J197">
        <f t="shared" si="3"/>
        <v>4.8999999999999998E-3</v>
      </c>
    </row>
    <row r="198" spans="1:10" x14ac:dyDescent="0.3">
      <c r="A198">
        <v>232</v>
      </c>
      <c r="B198">
        <v>21.709658999999998</v>
      </c>
      <c r="C198" t="s">
        <v>18</v>
      </c>
      <c r="D198" t="s">
        <v>8</v>
      </c>
      <c r="E198" t="s">
        <v>22</v>
      </c>
      <c r="F198">
        <v>73</v>
      </c>
      <c r="G198">
        <v>1.4909999999999999E-3</v>
      </c>
      <c r="H198" t="s">
        <v>189</v>
      </c>
      <c r="J198">
        <f t="shared" si="3"/>
        <v>1.5E-3</v>
      </c>
    </row>
    <row r="199" spans="1:10" x14ac:dyDescent="0.3">
      <c r="A199">
        <v>233</v>
      </c>
      <c r="B199">
        <v>21.709686000000001</v>
      </c>
      <c r="C199" t="s">
        <v>8</v>
      </c>
      <c r="D199" t="s">
        <v>18</v>
      </c>
      <c r="E199" t="s">
        <v>10</v>
      </c>
      <c r="F199">
        <v>54</v>
      </c>
      <c r="G199">
        <v>2.6999999999999999E-5</v>
      </c>
      <c r="H199" t="s">
        <v>190</v>
      </c>
      <c r="J199">
        <f t="shared" si="3"/>
        <v>1E-4</v>
      </c>
    </row>
    <row r="200" spans="1:10" x14ac:dyDescent="0.3">
      <c r="A200">
        <v>234</v>
      </c>
      <c r="B200">
        <v>21.721997000000002</v>
      </c>
      <c r="C200" t="s">
        <v>8</v>
      </c>
      <c r="D200" t="s">
        <v>18</v>
      </c>
      <c r="E200" t="s">
        <v>22</v>
      </c>
      <c r="F200">
        <v>58</v>
      </c>
      <c r="G200">
        <v>1.2311000000000001E-2</v>
      </c>
      <c r="H200" t="s">
        <v>191</v>
      </c>
      <c r="J200">
        <f t="shared" si="3"/>
        <v>1.24E-2</v>
      </c>
    </row>
    <row r="201" spans="1:10" x14ac:dyDescent="0.3">
      <c r="A201">
        <v>235</v>
      </c>
      <c r="B201">
        <v>21.765011999999999</v>
      </c>
      <c r="C201" t="s">
        <v>18</v>
      </c>
      <c r="D201" t="s">
        <v>8</v>
      </c>
      <c r="E201" t="s">
        <v>10</v>
      </c>
      <c r="F201">
        <v>60</v>
      </c>
      <c r="G201">
        <v>4.3014999999999998E-2</v>
      </c>
      <c r="H201" t="s">
        <v>192</v>
      </c>
      <c r="J201">
        <f t="shared" si="3"/>
        <v>4.3099999999999999E-2</v>
      </c>
    </row>
    <row r="202" spans="1:10" x14ac:dyDescent="0.3">
      <c r="A202">
        <v>237</v>
      </c>
      <c r="B202">
        <v>22.321515999999999</v>
      </c>
      <c r="C202" t="s">
        <v>18</v>
      </c>
      <c r="D202" t="s">
        <v>8</v>
      </c>
      <c r="E202" t="s">
        <v>22</v>
      </c>
      <c r="F202">
        <v>73</v>
      </c>
      <c r="G202">
        <v>0.556504</v>
      </c>
      <c r="H202" t="s">
        <v>193</v>
      </c>
      <c r="J202">
        <f t="shared" si="3"/>
        <v>0.55659999999999998</v>
      </c>
    </row>
    <row r="203" spans="1:10" x14ac:dyDescent="0.3">
      <c r="A203">
        <v>238</v>
      </c>
      <c r="B203">
        <v>22.322763999999999</v>
      </c>
      <c r="C203" t="s">
        <v>8</v>
      </c>
      <c r="D203" t="s">
        <v>18</v>
      </c>
      <c r="E203" t="s">
        <v>22</v>
      </c>
      <c r="F203">
        <v>58</v>
      </c>
      <c r="G203">
        <v>1.248E-3</v>
      </c>
      <c r="H203" t="s">
        <v>194</v>
      </c>
      <c r="J203">
        <f t="shared" si="3"/>
        <v>1.2999999999999999E-3</v>
      </c>
    </row>
    <row r="204" spans="1:10" x14ac:dyDescent="0.3">
      <c r="A204">
        <v>239</v>
      </c>
      <c r="B204">
        <v>22.323160999999999</v>
      </c>
      <c r="C204" t="s">
        <v>18</v>
      </c>
      <c r="D204" t="s">
        <v>8</v>
      </c>
      <c r="E204" t="s">
        <v>10</v>
      </c>
      <c r="F204">
        <v>60</v>
      </c>
      <c r="G204">
        <v>3.97E-4</v>
      </c>
      <c r="H204" t="s">
        <v>195</v>
      </c>
      <c r="J204">
        <f t="shared" si="3"/>
        <v>3.9999999999999996E-4</v>
      </c>
    </row>
    <row r="205" spans="1:10" x14ac:dyDescent="0.3">
      <c r="A205">
        <v>240</v>
      </c>
      <c r="B205">
        <v>22.802133999999999</v>
      </c>
      <c r="C205" t="s">
        <v>8</v>
      </c>
      <c r="D205" t="s">
        <v>18</v>
      </c>
      <c r="E205" t="s">
        <v>22</v>
      </c>
      <c r="F205">
        <v>73</v>
      </c>
      <c r="G205">
        <v>0.47897299999999998</v>
      </c>
      <c r="H205" t="s">
        <v>196</v>
      </c>
      <c r="J205">
        <f t="shared" si="3"/>
        <v>0.47899999999999998</v>
      </c>
    </row>
    <row r="206" spans="1:10" x14ac:dyDescent="0.3">
      <c r="A206">
        <v>241</v>
      </c>
      <c r="B206">
        <v>22.802792</v>
      </c>
      <c r="C206" t="s">
        <v>18</v>
      </c>
      <c r="D206" t="s">
        <v>8</v>
      </c>
      <c r="E206" t="s">
        <v>10</v>
      </c>
      <c r="F206">
        <v>60</v>
      </c>
      <c r="G206">
        <v>6.5799999999999995E-4</v>
      </c>
      <c r="H206" t="s">
        <v>197</v>
      </c>
      <c r="J206">
        <f t="shared" si="3"/>
        <v>6.9999999999999999E-4</v>
      </c>
    </row>
    <row r="207" spans="1:10" x14ac:dyDescent="0.3">
      <c r="A207">
        <v>242</v>
      </c>
      <c r="B207">
        <v>22.807120999999999</v>
      </c>
      <c r="C207" t="s">
        <v>18</v>
      </c>
      <c r="D207" t="s">
        <v>8</v>
      </c>
      <c r="E207" t="s">
        <v>22</v>
      </c>
      <c r="F207">
        <v>60</v>
      </c>
      <c r="G207">
        <v>4.3290000000000004E-3</v>
      </c>
      <c r="H207" t="s">
        <v>198</v>
      </c>
      <c r="J207">
        <f t="shared" si="3"/>
        <v>4.4000000000000003E-3</v>
      </c>
    </row>
    <row r="208" spans="1:10" x14ac:dyDescent="0.3">
      <c r="A208">
        <v>243</v>
      </c>
      <c r="B208">
        <v>22.808177000000001</v>
      </c>
      <c r="C208" t="s">
        <v>18</v>
      </c>
      <c r="D208" t="s">
        <v>8</v>
      </c>
      <c r="E208" t="s">
        <v>22</v>
      </c>
      <c r="F208">
        <v>73</v>
      </c>
      <c r="G208">
        <v>1.0560000000000001E-3</v>
      </c>
      <c r="H208" t="s">
        <v>199</v>
      </c>
      <c r="J208">
        <f t="shared" si="3"/>
        <v>1.1000000000000001E-3</v>
      </c>
    </row>
    <row r="209" spans="1:10" x14ac:dyDescent="0.3">
      <c r="A209">
        <v>244</v>
      </c>
      <c r="B209">
        <v>22.808202000000001</v>
      </c>
      <c r="C209" t="s">
        <v>8</v>
      </c>
      <c r="D209" t="s">
        <v>18</v>
      </c>
      <c r="E209" t="s">
        <v>10</v>
      </c>
      <c r="F209">
        <v>54</v>
      </c>
      <c r="G209">
        <v>2.5000000000000001E-5</v>
      </c>
      <c r="H209" t="s">
        <v>200</v>
      </c>
      <c r="J209">
        <f t="shared" si="3"/>
        <v>1E-4</v>
      </c>
    </row>
    <row r="210" spans="1:10" x14ac:dyDescent="0.3">
      <c r="A210">
        <v>245</v>
      </c>
      <c r="B210">
        <v>22.823119999999999</v>
      </c>
      <c r="C210" t="s">
        <v>8</v>
      </c>
      <c r="D210" t="s">
        <v>18</v>
      </c>
      <c r="E210" t="s">
        <v>22</v>
      </c>
      <c r="F210">
        <v>58</v>
      </c>
      <c r="G210">
        <v>1.4918000000000001E-2</v>
      </c>
      <c r="H210" t="s">
        <v>201</v>
      </c>
      <c r="J210">
        <f t="shared" si="3"/>
        <v>1.4999999999999999E-2</v>
      </c>
    </row>
    <row r="211" spans="1:10" x14ac:dyDescent="0.3">
      <c r="A211">
        <v>246</v>
      </c>
      <c r="B211">
        <v>22.865226</v>
      </c>
      <c r="C211" t="s">
        <v>18</v>
      </c>
      <c r="D211" t="s">
        <v>8</v>
      </c>
      <c r="E211" t="s">
        <v>10</v>
      </c>
      <c r="F211">
        <v>60</v>
      </c>
      <c r="G211">
        <v>4.2105999999999998E-2</v>
      </c>
      <c r="H211" t="s">
        <v>202</v>
      </c>
      <c r="J211">
        <f t="shared" si="3"/>
        <v>4.2200000000000001E-2</v>
      </c>
    </row>
    <row r="212" spans="1:10" x14ac:dyDescent="0.3">
      <c r="A212">
        <v>247</v>
      </c>
      <c r="B212">
        <v>23.395108</v>
      </c>
      <c r="C212" t="s">
        <v>18</v>
      </c>
      <c r="D212" t="s">
        <v>8</v>
      </c>
      <c r="E212" t="s">
        <v>22</v>
      </c>
      <c r="F212">
        <v>73</v>
      </c>
      <c r="G212">
        <v>0.52988199999999996</v>
      </c>
      <c r="H212" t="s">
        <v>203</v>
      </c>
      <c r="J212">
        <f t="shared" si="3"/>
        <v>0.52990000000000004</v>
      </c>
    </row>
    <row r="213" spans="1:10" x14ac:dyDescent="0.3">
      <c r="A213">
        <v>248</v>
      </c>
      <c r="B213">
        <v>23.397397000000002</v>
      </c>
      <c r="C213" t="s">
        <v>8</v>
      </c>
      <c r="D213" t="s">
        <v>18</v>
      </c>
      <c r="E213" t="s">
        <v>22</v>
      </c>
      <c r="F213">
        <v>58</v>
      </c>
      <c r="G213">
        <v>2.2889999999999998E-3</v>
      </c>
      <c r="H213" t="s">
        <v>204</v>
      </c>
      <c r="J213">
        <f t="shared" si="3"/>
        <v>2.3E-3</v>
      </c>
    </row>
    <row r="214" spans="1:10" x14ac:dyDescent="0.3">
      <c r="A214">
        <v>249</v>
      </c>
      <c r="B214">
        <v>23.39799</v>
      </c>
      <c r="C214" t="s">
        <v>18</v>
      </c>
      <c r="D214" t="s">
        <v>8</v>
      </c>
      <c r="E214" t="s">
        <v>10</v>
      </c>
      <c r="F214">
        <v>60</v>
      </c>
      <c r="G214">
        <v>5.9299999999999999E-4</v>
      </c>
      <c r="H214" t="s">
        <v>205</v>
      </c>
      <c r="J214">
        <f t="shared" si="3"/>
        <v>6.0000000000000006E-4</v>
      </c>
    </row>
    <row r="215" spans="1:10" x14ac:dyDescent="0.3">
      <c r="A215">
        <v>250</v>
      </c>
      <c r="B215">
        <v>23.895610000000001</v>
      </c>
      <c r="C215" t="s">
        <v>8</v>
      </c>
      <c r="D215" t="s">
        <v>18</v>
      </c>
      <c r="E215" t="s">
        <v>22</v>
      </c>
      <c r="F215">
        <v>73</v>
      </c>
      <c r="G215">
        <v>0.49762000000000001</v>
      </c>
      <c r="H215" t="s">
        <v>206</v>
      </c>
      <c r="J215">
        <f t="shared" si="3"/>
        <v>0.49769999999999998</v>
      </c>
    </row>
    <row r="216" spans="1:10" x14ac:dyDescent="0.3">
      <c r="A216">
        <v>251</v>
      </c>
      <c r="B216">
        <v>23.896255</v>
      </c>
      <c r="C216" t="s">
        <v>18</v>
      </c>
      <c r="D216" t="s">
        <v>8</v>
      </c>
      <c r="E216" t="s">
        <v>10</v>
      </c>
      <c r="F216">
        <v>60</v>
      </c>
      <c r="G216">
        <v>6.4499999999999996E-4</v>
      </c>
      <c r="H216" t="s">
        <v>207</v>
      </c>
      <c r="J216">
        <f t="shared" si="3"/>
        <v>6.9999999999999999E-4</v>
      </c>
    </row>
    <row r="217" spans="1:10" x14ac:dyDescent="0.3">
      <c r="A217">
        <v>252</v>
      </c>
      <c r="B217">
        <v>23.900124000000002</v>
      </c>
      <c r="C217" t="s">
        <v>18</v>
      </c>
      <c r="D217" t="s">
        <v>8</v>
      </c>
      <c r="E217" t="s">
        <v>22</v>
      </c>
      <c r="F217">
        <v>60</v>
      </c>
      <c r="G217">
        <v>3.869E-3</v>
      </c>
      <c r="H217" t="s">
        <v>208</v>
      </c>
      <c r="J217">
        <f t="shared" si="3"/>
        <v>3.8999999999999998E-3</v>
      </c>
    </row>
    <row r="218" spans="1:10" x14ac:dyDescent="0.3">
      <c r="A218">
        <v>253</v>
      </c>
      <c r="B218">
        <v>23.901306000000002</v>
      </c>
      <c r="C218" t="s">
        <v>18</v>
      </c>
      <c r="D218" t="s">
        <v>8</v>
      </c>
      <c r="E218" t="s">
        <v>22</v>
      </c>
      <c r="F218">
        <v>73</v>
      </c>
      <c r="G218">
        <v>1.1820000000000001E-3</v>
      </c>
      <c r="H218" t="s">
        <v>209</v>
      </c>
      <c r="J218">
        <f t="shared" si="3"/>
        <v>1.2000000000000001E-3</v>
      </c>
    </row>
    <row r="219" spans="1:10" x14ac:dyDescent="0.3">
      <c r="A219">
        <v>254</v>
      </c>
      <c r="B219">
        <v>23.901329</v>
      </c>
      <c r="C219" t="s">
        <v>8</v>
      </c>
      <c r="D219" t="s">
        <v>18</v>
      </c>
      <c r="E219" t="s">
        <v>10</v>
      </c>
      <c r="F219">
        <v>54</v>
      </c>
      <c r="G219">
        <v>2.3E-5</v>
      </c>
      <c r="H219" t="s">
        <v>210</v>
      </c>
      <c r="J219">
        <f t="shared" si="3"/>
        <v>1E-4</v>
      </c>
    </row>
    <row r="220" spans="1:10" x14ac:dyDescent="0.3">
      <c r="A220">
        <v>255</v>
      </c>
      <c r="B220">
        <v>23.915268999999999</v>
      </c>
      <c r="C220" t="s">
        <v>8</v>
      </c>
      <c r="D220" t="s">
        <v>18</v>
      </c>
      <c r="E220" t="s">
        <v>22</v>
      </c>
      <c r="F220">
        <v>58</v>
      </c>
      <c r="G220">
        <v>1.3939999999999999E-2</v>
      </c>
      <c r="H220" t="s">
        <v>211</v>
      </c>
      <c r="J220">
        <f t="shared" si="3"/>
        <v>1.3999999999999999E-2</v>
      </c>
    </row>
    <row r="221" spans="1:10" x14ac:dyDescent="0.3">
      <c r="A221">
        <v>256</v>
      </c>
      <c r="B221">
        <v>23.956975</v>
      </c>
      <c r="C221" t="s">
        <v>18</v>
      </c>
      <c r="D221" t="s">
        <v>8</v>
      </c>
      <c r="E221" t="s">
        <v>10</v>
      </c>
      <c r="F221">
        <v>60</v>
      </c>
      <c r="G221">
        <v>4.1706E-2</v>
      </c>
      <c r="H221" t="s">
        <v>212</v>
      </c>
      <c r="J221">
        <f t="shared" si="3"/>
        <v>4.1800000000000004E-2</v>
      </c>
    </row>
    <row r="222" spans="1:10" x14ac:dyDescent="0.3">
      <c r="A222">
        <v>258</v>
      </c>
      <c r="B222">
        <v>24.493627</v>
      </c>
      <c r="C222" t="s">
        <v>18</v>
      </c>
      <c r="D222" t="s">
        <v>8</v>
      </c>
      <c r="E222" t="s">
        <v>22</v>
      </c>
      <c r="F222">
        <v>73</v>
      </c>
      <c r="G222">
        <v>0.53665200000000002</v>
      </c>
      <c r="H222" t="s">
        <v>213</v>
      </c>
      <c r="J222">
        <f t="shared" si="3"/>
        <v>0.53669999999999995</v>
      </c>
    </row>
    <row r="223" spans="1:10" x14ac:dyDescent="0.3">
      <c r="A223">
        <v>259</v>
      </c>
      <c r="B223">
        <v>24.495235999999998</v>
      </c>
      <c r="C223" t="s">
        <v>8</v>
      </c>
      <c r="D223" t="s">
        <v>18</v>
      </c>
      <c r="E223" t="s">
        <v>22</v>
      </c>
      <c r="F223">
        <v>58</v>
      </c>
      <c r="G223">
        <v>1.609E-3</v>
      </c>
      <c r="H223" t="s">
        <v>214</v>
      </c>
      <c r="J223">
        <f t="shared" si="3"/>
        <v>1.7000000000000001E-3</v>
      </c>
    </row>
    <row r="224" spans="1:10" x14ac:dyDescent="0.3">
      <c r="A224">
        <v>260</v>
      </c>
      <c r="B224">
        <v>24.495477999999999</v>
      </c>
      <c r="C224" t="s">
        <v>18</v>
      </c>
      <c r="D224" t="s">
        <v>8</v>
      </c>
      <c r="E224" t="s">
        <v>10</v>
      </c>
      <c r="F224">
        <v>60</v>
      </c>
      <c r="G224">
        <v>2.42E-4</v>
      </c>
      <c r="H224" t="s">
        <v>215</v>
      </c>
      <c r="J224">
        <f t="shared" si="3"/>
        <v>3.0000000000000003E-4</v>
      </c>
    </row>
    <row r="225" spans="1:10" x14ac:dyDescent="0.3">
      <c r="A225">
        <v>261</v>
      </c>
      <c r="B225">
        <v>24.980505000000001</v>
      </c>
      <c r="C225" t="s">
        <v>8</v>
      </c>
      <c r="D225" t="s">
        <v>18</v>
      </c>
      <c r="E225" t="s">
        <v>22</v>
      </c>
      <c r="F225">
        <v>73</v>
      </c>
      <c r="G225">
        <v>0.48502699999999999</v>
      </c>
      <c r="H225" t="s">
        <v>216</v>
      </c>
      <c r="J225">
        <f t="shared" si="3"/>
        <v>0.48509999999999998</v>
      </c>
    </row>
    <row r="226" spans="1:10" x14ac:dyDescent="0.3">
      <c r="A226">
        <v>262</v>
      </c>
      <c r="B226">
        <v>24.981161</v>
      </c>
      <c r="C226" t="s">
        <v>18</v>
      </c>
      <c r="D226" t="s">
        <v>8</v>
      </c>
      <c r="E226" t="s">
        <v>10</v>
      </c>
      <c r="F226">
        <v>60</v>
      </c>
      <c r="G226">
        <v>6.5600000000000001E-4</v>
      </c>
      <c r="H226" t="s">
        <v>217</v>
      </c>
      <c r="J226">
        <f t="shared" si="3"/>
        <v>6.9999999999999999E-4</v>
      </c>
    </row>
    <row r="227" spans="1:10" x14ac:dyDescent="0.3">
      <c r="A227">
        <v>263</v>
      </c>
      <c r="B227">
        <v>24.986046000000002</v>
      </c>
      <c r="C227" t="s">
        <v>18</v>
      </c>
      <c r="D227" t="s">
        <v>8</v>
      </c>
      <c r="E227" t="s">
        <v>22</v>
      </c>
      <c r="F227">
        <v>60</v>
      </c>
      <c r="G227">
        <v>4.8849999999999996E-3</v>
      </c>
      <c r="H227" t="s">
        <v>218</v>
      </c>
      <c r="J227">
        <f t="shared" si="3"/>
        <v>4.8999999999999998E-3</v>
      </c>
    </row>
    <row r="228" spans="1:10" x14ac:dyDescent="0.3">
      <c r="A228">
        <v>264</v>
      </c>
      <c r="B228">
        <v>24.987290000000002</v>
      </c>
      <c r="C228" t="s">
        <v>18</v>
      </c>
      <c r="D228" t="s">
        <v>8</v>
      </c>
      <c r="E228" t="s">
        <v>22</v>
      </c>
      <c r="F228">
        <v>73</v>
      </c>
      <c r="G228">
        <v>1.2440000000000001E-3</v>
      </c>
      <c r="H228" t="s">
        <v>219</v>
      </c>
      <c r="J228">
        <f t="shared" si="3"/>
        <v>1.2999999999999999E-3</v>
      </c>
    </row>
    <row r="229" spans="1:10" x14ac:dyDescent="0.3">
      <c r="A229">
        <v>265</v>
      </c>
      <c r="B229">
        <v>24.987314999999999</v>
      </c>
      <c r="C229" t="s">
        <v>8</v>
      </c>
      <c r="D229" t="s">
        <v>18</v>
      </c>
      <c r="E229" t="s">
        <v>10</v>
      </c>
      <c r="F229">
        <v>54</v>
      </c>
      <c r="G229">
        <v>2.5000000000000001E-5</v>
      </c>
      <c r="H229" t="s">
        <v>220</v>
      </c>
      <c r="J229">
        <f t="shared" si="3"/>
        <v>1E-4</v>
      </c>
    </row>
    <row r="230" spans="1:10" x14ac:dyDescent="0.3">
      <c r="A230">
        <v>266</v>
      </c>
      <c r="B230">
        <v>25.000354000000002</v>
      </c>
      <c r="C230" t="s">
        <v>8</v>
      </c>
      <c r="D230" t="s">
        <v>18</v>
      </c>
      <c r="E230" t="s">
        <v>22</v>
      </c>
      <c r="F230">
        <v>58</v>
      </c>
      <c r="G230">
        <v>1.3039E-2</v>
      </c>
      <c r="H230" t="s">
        <v>221</v>
      </c>
      <c r="J230">
        <f t="shared" si="3"/>
        <v>1.3099999999999999E-2</v>
      </c>
    </row>
    <row r="231" spans="1:10" x14ac:dyDescent="0.3">
      <c r="A231">
        <v>267</v>
      </c>
      <c r="B231">
        <v>25.040938000000001</v>
      </c>
      <c r="C231" t="s">
        <v>18</v>
      </c>
      <c r="D231" t="s">
        <v>8</v>
      </c>
      <c r="E231" t="s">
        <v>10</v>
      </c>
      <c r="F231">
        <v>60</v>
      </c>
      <c r="G231">
        <v>4.0584000000000002E-2</v>
      </c>
      <c r="H231" t="s">
        <v>222</v>
      </c>
      <c r="J231">
        <f t="shared" si="3"/>
        <v>4.0600000000000004E-2</v>
      </c>
    </row>
    <row r="232" spans="1:10" x14ac:dyDescent="0.3">
      <c r="A232">
        <v>268</v>
      </c>
      <c r="B232">
        <v>25.246303000000001</v>
      </c>
      <c r="C232" t="s">
        <v>8</v>
      </c>
      <c r="D232" t="s">
        <v>9</v>
      </c>
      <c r="E232" t="s">
        <v>10</v>
      </c>
      <c r="F232">
        <v>66</v>
      </c>
      <c r="G232">
        <v>0.20536499999999999</v>
      </c>
      <c r="H232" t="s">
        <v>223</v>
      </c>
      <c r="J232">
        <f t="shared" si="3"/>
        <v>0.2054</v>
      </c>
    </row>
    <row r="233" spans="1:10" x14ac:dyDescent="0.3">
      <c r="A233">
        <v>269</v>
      </c>
      <c r="B233">
        <v>25.250785</v>
      </c>
      <c r="C233" t="s">
        <v>9</v>
      </c>
      <c r="D233" t="s">
        <v>8</v>
      </c>
      <c r="E233" t="s">
        <v>10</v>
      </c>
      <c r="F233">
        <v>60</v>
      </c>
      <c r="G233">
        <v>4.4819999999999999E-3</v>
      </c>
      <c r="H233" t="s">
        <v>224</v>
      </c>
      <c r="J233">
        <f t="shared" si="3"/>
        <v>4.5000000000000005E-3</v>
      </c>
    </row>
    <row r="234" spans="1:10" x14ac:dyDescent="0.3">
      <c r="A234">
        <v>270</v>
      </c>
      <c r="B234">
        <v>25.562093000000001</v>
      </c>
      <c r="C234" t="s">
        <v>18</v>
      </c>
      <c r="D234" t="s">
        <v>8</v>
      </c>
      <c r="E234" t="s">
        <v>22</v>
      </c>
      <c r="F234">
        <v>73</v>
      </c>
      <c r="G234">
        <v>0.31130799999999997</v>
      </c>
      <c r="H234" t="s">
        <v>225</v>
      </c>
      <c r="J234">
        <f t="shared" si="3"/>
        <v>0.31140000000000001</v>
      </c>
    </row>
    <row r="235" spans="1:10" x14ac:dyDescent="0.3">
      <c r="A235">
        <v>271</v>
      </c>
      <c r="B235">
        <v>25.564052</v>
      </c>
      <c r="C235" t="s">
        <v>8</v>
      </c>
      <c r="D235" t="s">
        <v>18</v>
      </c>
      <c r="E235" t="s">
        <v>22</v>
      </c>
      <c r="F235">
        <v>58</v>
      </c>
      <c r="G235">
        <v>1.9589999999999998E-3</v>
      </c>
      <c r="H235" t="s">
        <v>226</v>
      </c>
      <c r="J235">
        <f t="shared" si="3"/>
        <v>2E-3</v>
      </c>
    </row>
    <row r="236" spans="1:10" x14ac:dyDescent="0.3">
      <c r="A236">
        <v>272</v>
      </c>
      <c r="B236">
        <v>25.564325</v>
      </c>
      <c r="C236" t="s">
        <v>18</v>
      </c>
      <c r="D236" t="s">
        <v>8</v>
      </c>
      <c r="E236" t="s">
        <v>10</v>
      </c>
      <c r="F236">
        <v>60</v>
      </c>
      <c r="G236">
        <v>2.7300000000000002E-4</v>
      </c>
      <c r="H236" t="s">
        <v>227</v>
      </c>
      <c r="J236">
        <f t="shared" si="3"/>
        <v>3.0000000000000003E-4</v>
      </c>
    </row>
    <row r="237" spans="1:10" x14ac:dyDescent="0.3">
      <c r="A237">
        <v>273</v>
      </c>
      <c r="B237">
        <v>25.760452000000001</v>
      </c>
      <c r="C237" t="s">
        <v>8</v>
      </c>
      <c r="D237" t="s">
        <v>9</v>
      </c>
      <c r="E237" t="s">
        <v>10</v>
      </c>
      <c r="F237">
        <v>66</v>
      </c>
      <c r="G237">
        <v>0.196127</v>
      </c>
      <c r="H237" t="s">
        <v>228</v>
      </c>
      <c r="J237">
        <f t="shared" si="3"/>
        <v>0.19619999999999999</v>
      </c>
    </row>
    <row r="238" spans="1:10" x14ac:dyDescent="0.3">
      <c r="A238">
        <v>274</v>
      </c>
      <c r="B238">
        <v>25.862269000000001</v>
      </c>
      <c r="C238" t="s">
        <v>9</v>
      </c>
      <c r="D238" t="s">
        <v>8</v>
      </c>
      <c r="E238" t="s">
        <v>10</v>
      </c>
      <c r="F238">
        <v>60</v>
      </c>
      <c r="G238">
        <v>0.101817</v>
      </c>
      <c r="H238" t="s">
        <v>224</v>
      </c>
      <c r="J238">
        <f t="shared" si="3"/>
        <v>0.1019</v>
      </c>
    </row>
    <row r="239" spans="1:10" x14ac:dyDescent="0.3">
      <c r="A239">
        <v>276</v>
      </c>
      <c r="B239">
        <v>26.257740999999999</v>
      </c>
      <c r="C239" t="s">
        <v>8</v>
      </c>
      <c r="D239" t="s">
        <v>18</v>
      </c>
      <c r="E239" t="s">
        <v>22</v>
      </c>
      <c r="F239">
        <v>73</v>
      </c>
      <c r="G239">
        <v>0.39547199999999999</v>
      </c>
      <c r="H239" t="s">
        <v>229</v>
      </c>
      <c r="J239">
        <f t="shared" si="3"/>
        <v>0.39549999999999996</v>
      </c>
    </row>
    <row r="240" spans="1:10" x14ac:dyDescent="0.3">
      <c r="A240">
        <v>277</v>
      </c>
      <c r="B240">
        <v>26.258388</v>
      </c>
      <c r="C240" t="s">
        <v>18</v>
      </c>
      <c r="D240" t="s">
        <v>8</v>
      </c>
      <c r="E240" t="s">
        <v>10</v>
      </c>
      <c r="F240">
        <v>60</v>
      </c>
      <c r="G240">
        <v>6.4700000000000001E-4</v>
      </c>
      <c r="H240" t="s">
        <v>230</v>
      </c>
      <c r="J240">
        <f t="shared" si="3"/>
        <v>6.9999999999999999E-4</v>
      </c>
    </row>
    <row r="241" spans="1:10" x14ac:dyDescent="0.3">
      <c r="A241">
        <v>278</v>
      </c>
      <c r="B241">
        <v>26.262571000000001</v>
      </c>
      <c r="C241" t="s">
        <v>18</v>
      </c>
      <c r="D241" t="s">
        <v>8</v>
      </c>
      <c r="E241" t="s">
        <v>22</v>
      </c>
      <c r="F241">
        <v>60</v>
      </c>
      <c r="G241">
        <v>4.1830000000000001E-3</v>
      </c>
      <c r="H241" t="s">
        <v>231</v>
      </c>
      <c r="J241">
        <f t="shared" si="3"/>
        <v>4.2000000000000006E-3</v>
      </c>
    </row>
    <row r="242" spans="1:10" x14ac:dyDescent="0.3">
      <c r="A242">
        <v>279</v>
      </c>
      <c r="B242">
        <v>26.263643999999999</v>
      </c>
      <c r="C242" t="s">
        <v>18</v>
      </c>
      <c r="D242" t="s">
        <v>8</v>
      </c>
      <c r="E242" t="s">
        <v>22</v>
      </c>
      <c r="F242">
        <v>73</v>
      </c>
      <c r="G242">
        <v>1.073E-3</v>
      </c>
      <c r="H242" t="s">
        <v>232</v>
      </c>
      <c r="J242">
        <f t="shared" si="3"/>
        <v>1.1000000000000001E-3</v>
      </c>
    </row>
    <row r="243" spans="1:10" x14ac:dyDescent="0.3">
      <c r="A243">
        <v>280</v>
      </c>
      <c r="B243">
        <v>26.263667999999999</v>
      </c>
      <c r="C243" t="s">
        <v>8</v>
      </c>
      <c r="D243" t="s">
        <v>18</v>
      </c>
      <c r="E243" t="s">
        <v>10</v>
      </c>
      <c r="F243">
        <v>54</v>
      </c>
      <c r="G243">
        <v>2.4000000000000001E-5</v>
      </c>
      <c r="H243" t="s">
        <v>233</v>
      </c>
      <c r="J243">
        <f t="shared" si="3"/>
        <v>1E-4</v>
      </c>
    </row>
    <row r="244" spans="1:10" x14ac:dyDescent="0.3">
      <c r="A244">
        <v>281</v>
      </c>
      <c r="B244">
        <v>26.278274</v>
      </c>
      <c r="C244" t="s">
        <v>8</v>
      </c>
      <c r="D244" t="s">
        <v>18</v>
      </c>
      <c r="E244" t="s">
        <v>22</v>
      </c>
      <c r="F244">
        <v>58</v>
      </c>
      <c r="G244">
        <v>1.4605999999999999E-2</v>
      </c>
      <c r="H244" t="s">
        <v>234</v>
      </c>
      <c r="J244">
        <f t="shared" si="3"/>
        <v>1.47E-2</v>
      </c>
    </row>
    <row r="245" spans="1:10" x14ac:dyDescent="0.3">
      <c r="A245">
        <v>282</v>
      </c>
      <c r="B245">
        <v>26.321238999999998</v>
      </c>
      <c r="C245" t="s">
        <v>18</v>
      </c>
      <c r="D245" t="s">
        <v>8</v>
      </c>
      <c r="E245" t="s">
        <v>10</v>
      </c>
      <c r="F245">
        <v>60</v>
      </c>
      <c r="G245">
        <v>4.2965000000000003E-2</v>
      </c>
      <c r="H245" t="s">
        <v>235</v>
      </c>
      <c r="J245">
        <f t="shared" si="3"/>
        <v>4.3000000000000003E-2</v>
      </c>
    </row>
    <row r="246" spans="1:10" x14ac:dyDescent="0.3">
      <c r="A246">
        <v>283</v>
      </c>
      <c r="B246">
        <v>26.366674</v>
      </c>
      <c r="C246" t="s">
        <v>8</v>
      </c>
      <c r="D246" t="s">
        <v>9</v>
      </c>
      <c r="E246" t="s">
        <v>10</v>
      </c>
      <c r="F246">
        <v>66</v>
      </c>
      <c r="G246">
        <v>4.5435000000000003E-2</v>
      </c>
      <c r="H246" t="s">
        <v>228</v>
      </c>
      <c r="J246">
        <f t="shared" si="3"/>
        <v>4.5500000000000006E-2</v>
      </c>
    </row>
    <row r="247" spans="1:10" x14ac:dyDescent="0.3">
      <c r="A247">
        <v>284</v>
      </c>
      <c r="B247">
        <v>26.376902999999999</v>
      </c>
      <c r="C247" t="s">
        <v>9</v>
      </c>
      <c r="D247" t="s">
        <v>8</v>
      </c>
      <c r="E247" t="s">
        <v>10</v>
      </c>
      <c r="F247">
        <v>60</v>
      </c>
      <c r="G247">
        <v>1.0229E-2</v>
      </c>
      <c r="H247" t="s">
        <v>224</v>
      </c>
      <c r="J247">
        <f t="shared" si="3"/>
        <v>1.03E-2</v>
      </c>
    </row>
    <row r="248" spans="1:10" x14ac:dyDescent="0.3">
      <c r="A248">
        <v>287</v>
      </c>
      <c r="B248">
        <v>26.774592999999999</v>
      </c>
      <c r="C248" t="s">
        <v>18</v>
      </c>
      <c r="D248" t="s">
        <v>8</v>
      </c>
      <c r="E248" t="s">
        <v>22</v>
      </c>
      <c r="F248">
        <v>73</v>
      </c>
      <c r="G248">
        <v>0.39768999999999999</v>
      </c>
      <c r="H248" t="s">
        <v>236</v>
      </c>
      <c r="J248">
        <f t="shared" si="3"/>
        <v>0.3977</v>
      </c>
    </row>
    <row r="249" spans="1:10" x14ac:dyDescent="0.3">
      <c r="A249">
        <v>288</v>
      </c>
      <c r="B249">
        <v>26.776122000000001</v>
      </c>
      <c r="C249" t="s">
        <v>8</v>
      </c>
      <c r="D249" t="s">
        <v>18</v>
      </c>
      <c r="E249" t="s">
        <v>22</v>
      </c>
      <c r="F249">
        <v>58</v>
      </c>
      <c r="G249">
        <v>1.529E-3</v>
      </c>
      <c r="H249" t="s">
        <v>237</v>
      </c>
      <c r="J249">
        <f t="shared" si="3"/>
        <v>1.6000000000000001E-3</v>
      </c>
    </row>
    <row r="250" spans="1:10" x14ac:dyDescent="0.3">
      <c r="A250">
        <v>289</v>
      </c>
      <c r="B250">
        <v>26.776540000000001</v>
      </c>
      <c r="C250" t="s">
        <v>18</v>
      </c>
      <c r="D250" t="s">
        <v>8</v>
      </c>
      <c r="E250" t="s">
        <v>10</v>
      </c>
      <c r="F250">
        <v>60</v>
      </c>
      <c r="G250">
        <v>4.1800000000000002E-4</v>
      </c>
      <c r="H250" t="s">
        <v>238</v>
      </c>
      <c r="J250">
        <f t="shared" si="3"/>
        <v>5.0000000000000001E-4</v>
      </c>
    </row>
    <row r="251" spans="1:10" x14ac:dyDescent="0.3">
      <c r="A251">
        <v>290</v>
      </c>
      <c r="B251">
        <v>26.882187999999999</v>
      </c>
      <c r="C251" t="s">
        <v>8</v>
      </c>
      <c r="D251" t="s">
        <v>9</v>
      </c>
      <c r="E251" t="s">
        <v>10</v>
      </c>
      <c r="F251">
        <v>66</v>
      </c>
      <c r="G251">
        <v>0.10564800000000001</v>
      </c>
      <c r="H251" t="s">
        <v>228</v>
      </c>
      <c r="J251">
        <f t="shared" si="3"/>
        <v>0.1057</v>
      </c>
    </row>
    <row r="252" spans="1:10" x14ac:dyDescent="0.3">
      <c r="A252">
        <v>291</v>
      </c>
      <c r="B252">
        <v>26.885736000000001</v>
      </c>
      <c r="C252" t="s">
        <v>9</v>
      </c>
      <c r="D252" t="s">
        <v>8</v>
      </c>
      <c r="E252" t="s">
        <v>10</v>
      </c>
      <c r="F252">
        <v>60</v>
      </c>
      <c r="G252">
        <v>3.5479999999999999E-3</v>
      </c>
      <c r="H252" t="s">
        <v>224</v>
      </c>
      <c r="J252">
        <f t="shared" si="3"/>
        <v>3.5999999999999999E-3</v>
      </c>
    </row>
    <row r="253" spans="1:10" x14ac:dyDescent="0.3">
      <c r="A253">
        <v>292</v>
      </c>
      <c r="B253">
        <v>27.394221000000002</v>
      </c>
      <c r="C253" t="s">
        <v>8</v>
      </c>
      <c r="D253" t="s">
        <v>9</v>
      </c>
      <c r="E253" t="s">
        <v>10</v>
      </c>
      <c r="F253">
        <v>66</v>
      </c>
      <c r="G253">
        <v>0.50848499999999996</v>
      </c>
      <c r="H253" t="s">
        <v>228</v>
      </c>
      <c r="J253">
        <f t="shared" si="3"/>
        <v>0.50849999999999995</v>
      </c>
    </row>
    <row r="254" spans="1:10" x14ac:dyDescent="0.3">
      <c r="A254">
        <v>293</v>
      </c>
      <c r="B254">
        <v>27.398980000000002</v>
      </c>
      <c r="C254" t="s">
        <v>9</v>
      </c>
      <c r="D254" t="s">
        <v>8</v>
      </c>
      <c r="E254" t="s">
        <v>10</v>
      </c>
      <c r="F254">
        <v>60</v>
      </c>
      <c r="G254">
        <v>4.7590000000000002E-3</v>
      </c>
      <c r="H254" t="s">
        <v>224</v>
      </c>
      <c r="J254">
        <f t="shared" si="3"/>
        <v>4.8000000000000004E-3</v>
      </c>
    </row>
    <row r="255" spans="1:10" x14ac:dyDescent="0.3">
      <c r="A255">
        <v>306</v>
      </c>
      <c r="B255">
        <v>37.433090999999997</v>
      </c>
      <c r="C255" t="s">
        <v>8</v>
      </c>
      <c r="D255" t="s">
        <v>9</v>
      </c>
      <c r="E255" t="s">
        <v>10</v>
      </c>
      <c r="F255">
        <v>66</v>
      </c>
      <c r="G255">
        <v>10.034110999999999</v>
      </c>
      <c r="H255" t="s">
        <v>239</v>
      </c>
      <c r="J255">
        <f t="shared" si="3"/>
        <v>10.0342</v>
      </c>
    </row>
    <row r="256" spans="1:10" x14ac:dyDescent="0.3">
      <c r="A256">
        <v>307</v>
      </c>
      <c r="B256">
        <v>37.445891000000003</v>
      </c>
      <c r="C256" t="s">
        <v>9</v>
      </c>
      <c r="D256" t="s">
        <v>8</v>
      </c>
      <c r="E256" t="s">
        <v>10</v>
      </c>
      <c r="F256">
        <v>60</v>
      </c>
      <c r="G256">
        <v>1.2800000000000001E-2</v>
      </c>
      <c r="H256" t="s">
        <v>240</v>
      </c>
      <c r="J256">
        <f t="shared" si="3"/>
        <v>1.2800000000000001E-2</v>
      </c>
    </row>
    <row r="257" spans="1:10" x14ac:dyDescent="0.3">
      <c r="A257">
        <v>308</v>
      </c>
      <c r="B257">
        <v>37.946539000000001</v>
      </c>
      <c r="C257" t="s">
        <v>8</v>
      </c>
      <c r="D257" t="s">
        <v>9</v>
      </c>
      <c r="E257" t="s">
        <v>10</v>
      </c>
      <c r="F257">
        <v>66</v>
      </c>
      <c r="G257">
        <v>0.50064799999999998</v>
      </c>
      <c r="H257" t="s">
        <v>241</v>
      </c>
      <c r="J257">
        <f t="shared" si="3"/>
        <v>0.50070000000000003</v>
      </c>
    </row>
    <row r="258" spans="1:10" x14ac:dyDescent="0.3">
      <c r="A258">
        <v>310</v>
      </c>
      <c r="B258">
        <v>38.061044000000003</v>
      </c>
      <c r="C258" t="s">
        <v>9</v>
      </c>
      <c r="D258" t="s">
        <v>8</v>
      </c>
      <c r="E258" t="s">
        <v>10</v>
      </c>
      <c r="F258">
        <v>60</v>
      </c>
      <c r="G258">
        <v>0.114505</v>
      </c>
      <c r="H258" t="s">
        <v>240</v>
      </c>
      <c r="J258">
        <f t="shared" si="3"/>
        <v>0.11460000000000001</v>
      </c>
    </row>
    <row r="259" spans="1:10" x14ac:dyDescent="0.3">
      <c r="A259">
        <v>311</v>
      </c>
      <c r="B259">
        <v>38.573846000000003</v>
      </c>
      <c r="C259" t="s">
        <v>8</v>
      </c>
      <c r="D259" t="s">
        <v>9</v>
      </c>
      <c r="E259" t="s">
        <v>10</v>
      </c>
      <c r="F259">
        <v>66</v>
      </c>
      <c r="G259">
        <v>0.51280199999999998</v>
      </c>
      <c r="H259" t="s">
        <v>241</v>
      </c>
      <c r="J259">
        <f t="shared" si="3"/>
        <v>0.51290000000000002</v>
      </c>
    </row>
    <row r="260" spans="1:10" x14ac:dyDescent="0.3">
      <c r="A260">
        <v>312</v>
      </c>
      <c r="B260">
        <v>38.674456999999997</v>
      </c>
      <c r="C260" t="s">
        <v>9</v>
      </c>
      <c r="D260" t="s">
        <v>8</v>
      </c>
      <c r="E260" t="s">
        <v>10</v>
      </c>
      <c r="F260">
        <v>60</v>
      </c>
      <c r="G260">
        <v>0.10061100000000001</v>
      </c>
      <c r="H260" t="s">
        <v>240</v>
      </c>
      <c r="J260">
        <f t="shared" ref="J260:J294" si="4">ROUNDUP(G260,4)</f>
        <v>0.1007</v>
      </c>
    </row>
    <row r="261" spans="1:10" x14ac:dyDescent="0.3">
      <c r="A261">
        <v>313</v>
      </c>
      <c r="B261">
        <v>39.184125999999999</v>
      </c>
      <c r="C261" t="s">
        <v>8</v>
      </c>
      <c r="D261" t="s">
        <v>9</v>
      </c>
      <c r="E261" t="s">
        <v>10</v>
      </c>
      <c r="F261">
        <v>66</v>
      </c>
      <c r="G261">
        <v>0.50966900000000004</v>
      </c>
      <c r="H261" t="s">
        <v>241</v>
      </c>
      <c r="J261">
        <f t="shared" si="4"/>
        <v>0.50970000000000004</v>
      </c>
    </row>
    <row r="262" spans="1:10" x14ac:dyDescent="0.3">
      <c r="A262">
        <v>314</v>
      </c>
      <c r="B262">
        <v>39.288103</v>
      </c>
      <c r="C262" t="s">
        <v>9</v>
      </c>
      <c r="D262" t="s">
        <v>8</v>
      </c>
      <c r="E262" t="s">
        <v>10</v>
      </c>
      <c r="F262">
        <v>60</v>
      </c>
      <c r="G262">
        <v>0.103977</v>
      </c>
      <c r="H262" t="s">
        <v>240</v>
      </c>
      <c r="J262">
        <f t="shared" si="4"/>
        <v>0.10400000000000001</v>
      </c>
    </row>
    <row r="263" spans="1:10" x14ac:dyDescent="0.3">
      <c r="A263">
        <v>315</v>
      </c>
      <c r="B263">
        <v>39.794044999999997</v>
      </c>
      <c r="C263" t="s">
        <v>8</v>
      </c>
      <c r="D263" t="s">
        <v>9</v>
      </c>
      <c r="E263" t="s">
        <v>10</v>
      </c>
      <c r="F263">
        <v>66</v>
      </c>
      <c r="G263">
        <v>0.505942</v>
      </c>
      <c r="H263" t="s">
        <v>241</v>
      </c>
      <c r="J263">
        <f t="shared" si="4"/>
        <v>0.50600000000000001</v>
      </c>
    </row>
    <row r="264" spans="1:10" x14ac:dyDescent="0.3">
      <c r="A264">
        <v>316</v>
      </c>
      <c r="B264">
        <v>39.905743999999999</v>
      </c>
      <c r="C264" t="s">
        <v>9</v>
      </c>
      <c r="D264" t="s">
        <v>8</v>
      </c>
      <c r="E264" t="s">
        <v>10</v>
      </c>
      <c r="F264">
        <v>60</v>
      </c>
      <c r="G264">
        <v>0.11169900000000001</v>
      </c>
      <c r="H264" t="s">
        <v>240</v>
      </c>
      <c r="J264">
        <f t="shared" si="4"/>
        <v>0.11170000000000001</v>
      </c>
    </row>
    <row r="265" spans="1:10" x14ac:dyDescent="0.3">
      <c r="A265">
        <v>322</v>
      </c>
      <c r="B265">
        <v>40.703899</v>
      </c>
      <c r="C265" t="s">
        <v>242</v>
      </c>
      <c r="D265" t="s">
        <v>8</v>
      </c>
      <c r="E265" t="s">
        <v>243</v>
      </c>
      <c r="F265">
        <v>100</v>
      </c>
      <c r="G265">
        <v>0.79815499999999995</v>
      </c>
      <c r="H265" t="s">
        <v>244</v>
      </c>
      <c r="J265">
        <f t="shared" si="4"/>
        <v>0.79820000000000002</v>
      </c>
    </row>
    <row r="266" spans="1:10" x14ac:dyDescent="0.3">
      <c r="A266">
        <v>323</v>
      </c>
      <c r="B266">
        <v>40.703972</v>
      </c>
      <c r="C266" t="s">
        <v>8</v>
      </c>
      <c r="D266" t="s">
        <v>242</v>
      </c>
      <c r="E266" t="s">
        <v>10</v>
      </c>
      <c r="F266">
        <v>54</v>
      </c>
      <c r="G266">
        <v>7.2999999999999999E-5</v>
      </c>
      <c r="H266" t="s">
        <v>245</v>
      </c>
      <c r="J266">
        <f t="shared" si="4"/>
        <v>1E-4</v>
      </c>
    </row>
    <row r="267" spans="1:10" x14ac:dyDescent="0.3">
      <c r="A267">
        <v>328</v>
      </c>
      <c r="B267">
        <v>41.199770000000001</v>
      </c>
      <c r="C267" t="s">
        <v>8</v>
      </c>
      <c r="D267" t="s">
        <v>246</v>
      </c>
      <c r="E267" t="s">
        <v>10</v>
      </c>
      <c r="F267">
        <v>66</v>
      </c>
      <c r="G267">
        <v>0.49579800000000002</v>
      </c>
      <c r="H267" t="s">
        <v>247</v>
      </c>
      <c r="J267">
        <f t="shared" si="4"/>
        <v>0.49579999999999996</v>
      </c>
    </row>
    <row r="268" spans="1:10" x14ac:dyDescent="0.3">
      <c r="A268">
        <v>329</v>
      </c>
      <c r="B268">
        <v>41.200105999999998</v>
      </c>
      <c r="C268" t="s">
        <v>8</v>
      </c>
      <c r="D268" t="s">
        <v>248</v>
      </c>
      <c r="E268" t="s">
        <v>10</v>
      </c>
      <c r="F268">
        <v>66</v>
      </c>
      <c r="G268">
        <v>3.3599999999999998E-4</v>
      </c>
      <c r="H268" t="s">
        <v>249</v>
      </c>
      <c r="J268">
        <f t="shared" si="4"/>
        <v>3.9999999999999996E-4</v>
      </c>
    </row>
    <row r="269" spans="1:10" x14ac:dyDescent="0.3">
      <c r="A269">
        <v>331</v>
      </c>
      <c r="B269">
        <v>42.202328999999999</v>
      </c>
      <c r="C269" t="s">
        <v>8</v>
      </c>
      <c r="D269" t="s">
        <v>246</v>
      </c>
      <c r="E269" t="s">
        <v>10</v>
      </c>
      <c r="F269">
        <v>66</v>
      </c>
      <c r="G269">
        <v>1.0022230000000001</v>
      </c>
      <c r="H269" t="s">
        <v>250</v>
      </c>
      <c r="J269">
        <f t="shared" si="4"/>
        <v>1.0023</v>
      </c>
    </row>
    <row r="270" spans="1:10" x14ac:dyDescent="0.3">
      <c r="A270">
        <v>332</v>
      </c>
      <c r="B270">
        <v>42.202337</v>
      </c>
      <c r="C270" t="s">
        <v>8</v>
      </c>
      <c r="D270" t="s">
        <v>248</v>
      </c>
      <c r="E270" t="s">
        <v>10</v>
      </c>
      <c r="F270">
        <v>66</v>
      </c>
      <c r="G270">
        <v>7.9999999999999996E-6</v>
      </c>
      <c r="H270" t="s">
        <v>251</v>
      </c>
      <c r="J270">
        <f t="shared" si="4"/>
        <v>1E-4</v>
      </c>
    </row>
    <row r="271" spans="1:10" x14ac:dyDescent="0.3">
      <c r="A271">
        <v>333</v>
      </c>
      <c r="B271">
        <v>42.203392999999998</v>
      </c>
      <c r="C271" t="s">
        <v>8</v>
      </c>
      <c r="D271" t="s">
        <v>252</v>
      </c>
      <c r="E271" t="s">
        <v>10</v>
      </c>
      <c r="F271">
        <v>66</v>
      </c>
      <c r="G271">
        <v>1.0560000000000001E-3</v>
      </c>
      <c r="H271" t="s">
        <v>253</v>
      </c>
      <c r="J271">
        <f t="shared" si="4"/>
        <v>1.1000000000000001E-3</v>
      </c>
    </row>
    <row r="272" spans="1:10" x14ac:dyDescent="0.3">
      <c r="A272">
        <v>338</v>
      </c>
      <c r="B272">
        <v>43.218417000000002</v>
      </c>
      <c r="C272" t="s">
        <v>8</v>
      </c>
      <c r="D272" t="s">
        <v>252</v>
      </c>
      <c r="E272" t="s">
        <v>10</v>
      </c>
      <c r="F272">
        <v>66</v>
      </c>
      <c r="G272">
        <v>1.0150239999999999</v>
      </c>
      <c r="H272" t="s">
        <v>254</v>
      </c>
      <c r="J272">
        <f t="shared" si="4"/>
        <v>1.0150999999999999</v>
      </c>
    </row>
    <row r="273" spans="1:10" x14ac:dyDescent="0.3">
      <c r="A273">
        <v>342</v>
      </c>
      <c r="B273">
        <v>44.206941999999998</v>
      </c>
      <c r="C273" t="s">
        <v>8</v>
      </c>
      <c r="D273" t="s">
        <v>246</v>
      </c>
      <c r="E273" t="s">
        <v>10</v>
      </c>
      <c r="F273">
        <v>66</v>
      </c>
      <c r="G273">
        <v>0.98852499999999999</v>
      </c>
      <c r="H273" t="s">
        <v>250</v>
      </c>
      <c r="J273">
        <f t="shared" si="4"/>
        <v>0.98860000000000003</v>
      </c>
    </row>
    <row r="274" spans="1:10" x14ac:dyDescent="0.3">
      <c r="A274">
        <v>343</v>
      </c>
      <c r="B274">
        <v>44.206947</v>
      </c>
      <c r="C274" t="s">
        <v>8</v>
      </c>
      <c r="D274" t="s">
        <v>248</v>
      </c>
      <c r="E274" t="s">
        <v>10</v>
      </c>
      <c r="F274">
        <v>66</v>
      </c>
      <c r="G274">
        <v>5.0000000000000004E-6</v>
      </c>
      <c r="H274" t="s">
        <v>251</v>
      </c>
      <c r="J274">
        <f t="shared" si="4"/>
        <v>1E-4</v>
      </c>
    </row>
    <row r="275" spans="1:10" x14ac:dyDescent="0.3">
      <c r="A275">
        <v>344</v>
      </c>
      <c r="B275">
        <v>45.222186999999998</v>
      </c>
      <c r="C275" t="s">
        <v>8</v>
      </c>
      <c r="D275" t="s">
        <v>252</v>
      </c>
      <c r="E275" t="s">
        <v>10</v>
      </c>
      <c r="F275">
        <v>66</v>
      </c>
      <c r="G275">
        <v>1.0152399999999999</v>
      </c>
      <c r="H275" t="s">
        <v>254</v>
      </c>
      <c r="J275">
        <f t="shared" si="4"/>
        <v>1.0153000000000001</v>
      </c>
    </row>
    <row r="276" spans="1:10" x14ac:dyDescent="0.3">
      <c r="A276">
        <v>345</v>
      </c>
      <c r="B276">
        <v>45.711449999999999</v>
      </c>
      <c r="C276" t="s">
        <v>242</v>
      </c>
      <c r="D276" t="s">
        <v>8</v>
      </c>
      <c r="E276" t="s">
        <v>243</v>
      </c>
      <c r="F276">
        <v>85</v>
      </c>
      <c r="G276">
        <v>0.489263</v>
      </c>
      <c r="H276" t="s">
        <v>255</v>
      </c>
      <c r="J276">
        <f t="shared" si="4"/>
        <v>0.48930000000000001</v>
      </c>
    </row>
    <row r="277" spans="1:10" x14ac:dyDescent="0.3">
      <c r="A277">
        <v>346</v>
      </c>
      <c r="B277">
        <v>45.711449999999999</v>
      </c>
      <c r="C277" t="s">
        <v>242</v>
      </c>
      <c r="D277" t="s">
        <v>8</v>
      </c>
      <c r="E277" t="s">
        <v>10</v>
      </c>
      <c r="F277">
        <v>60</v>
      </c>
      <c r="G277">
        <v>0</v>
      </c>
      <c r="H277" t="s">
        <v>256</v>
      </c>
      <c r="J277">
        <f t="shared" si="4"/>
        <v>0</v>
      </c>
    </row>
    <row r="278" spans="1:10" x14ac:dyDescent="0.3">
      <c r="A278">
        <v>347</v>
      </c>
      <c r="B278">
        <v>45.711509999999997</v>
      </c>
      <c r="C278" t="s">
        <v>8</v>
      </c>
      <c r="D278" t="s">
        <v>242</v>
      </c>
      <c r="E278" t="s">
        <v>10</v>
      </c>
      <c r="F278">
        <v>54</v>
      </c>
      <c r="G278">
        <v>6.0000000000000002E-5</v>
      </c>
      <c r="H278" t="s">
        <v>257</v>
      </c>
      <c r="J278">
        <f t="shared" si="4"/>
        <v>1E-4</v>
      </c>
    </row>
    <row r="279" spans="1:10" x14ac:dyDescent="0.3">
      <c r="A279">
        <v>354</v>
      </c>
      <c r="B279">
        <v>48.209122000000001</v>
      </c>
      <c r="C279" t="s">
        <v>8</v>
      </c>
      <c r="D279" t="s">
        <v>248</v>
      </c>
      <c r="E279" t="s">
        <v>10</v>
      </c>
      <c r="F279">
        <v>66</v>
      </c>
      <c r="G279">
        <v>2.4976120000000002</v>
      </c>
      <c r="H279" t="s">
        <v>251</v>
      </c>
      <c r="J279">
        <f t="shared" si="4"/>
        <v>2.4977</v>
      </c>
    </row>
    <row r="280" spans="1:10" x14ac:dyDescent="0.3">
      <c r="A280">
        <v>355</v>
      </c>
      <c r="B280">
        <v>48.209127000000002</v>
      </c>
      <c r="C280" t="s">
        <v>8</v>
      </c>
      <c r="D280" t="s">
        <v>246</v>
      </c>
      <c r="E280" t="s">
        <v>10</v>
      </c>
      <c r="F280">
        <v>66</v>
      </c>
      <c r="G280">
        <v>5.0000000000000004E-6</v>
      </c>
      <c r="H280" t="s">
        <v>250</v>
      </c>
      <c r="J280">
        <f t="shared" si="4"/>
        <v>1E-4</v>
      </c>
    </row>
    <row r="281" spans="1:10" x14ac:dyDescent="0.3">
      <c r="A281">
        <v>356</v>
      </c>
      <c r="B281">
        <v>49.230082000000003</v>
      </c>
      <c r="C281" t="s">
        <v>8</v>
      </c>
      <c r="D281" t="s">
        <v>252</v>
      </c>
      <c r="E281" t="s">
        <v>10</v>
      </c>
      <c r="F281">
        <v>66</v>
      </c>
      <c r="G281">
        <v>1.0209550000000001</v>
      </c>
      <c r="H281" t="s">
        <v>254</v>
      </c>
      <c r="J281">
        <f t="shared" si="4"/>
        <v>1.0209999999999999</v>
      </c>
    </row>
    <row r="282" spans="1:10" x14ac:dyDescent="0.3">
      <c r="A282">
        <v>357</v>
      </c>
      <c r="B282">
        <v>49.941567999999997</v>
      </c>
      <c r="C282" t="s">
        <v>8</v>
      </c>
      <c r="D282" t="s">
        <v>9</v>
      </c>
      <c r="E282" t="s">
        <v>10</v>
      </c>
      <c r="F282">
        <v>66</v>
      </c>
      <c r="G282">
        <v>0.71148599999999995</v>
      </c>
      <c r="H282" t="s">
        <v>258</v>
      </c>
      <c r="J282">
        <f t="shared" si="4"/>
        <v>0.71150000000000002</v>
      </c>
    </row>
    <row r="283" spans="1:10" x14ac:dyDescent="0.3">
      <c r="A283">
        <v>358</v>
      </c>
      <c r="B283">
        <v>50.040525000000002</v>
      </c>
      <c r="C283" t="s">
        <v>9</v>
      </c>
      <c r="D283" t="s">
        <v>8</v>
      </c>
      <c r="E283" t="s">
        <v>10</v>
      </c>
      <c r="F283">
        <v>60</v>
      </c>
      <c r="G283">
        <v>9.8957000000000003E-2</v>
      </c>
      <c r="H283" t="s">
        <v>259</v>
      </c>
      <c r="J283">
        <f t="shared" si="4"/>
        <v>9.9000000000000005E-2</v>
      </c>
    </row>
    <row r="284" spans="1:10" x14ac:dyDescent="0.3">
      <c r="A284">
        <v>360</v>
      </c>
      <c r="B284">
        <v>50.547974000000004</v>
      </c>
      <c r="C284" t="s">
        <v>8</v>
      </c>
      <c r="D284" t="s">
        <v>9</v>
      </c>
      <c r="E284" t="s">
        <v>10</v>
      </c>
      <c r="F284">
        <v>66</v>
      </c>
      <c r="G284">
        <v>0.50744900000000004</v>
      </c>
      <c r="H284" t="s">
        <v>260</v>
      </c>
      <c r="J284">
        <f t="shared" si="4"/>
        <v>0.50749999999999995</v>
      </c>
    </row>
    <row r="285" spans="1:10" x14ac:dyDescent="0.3">
      <c r="A285">
        <v>361</v>
      </c>
      <c r="B285">
        <v>50.655023999999997</v>
      </c>
      <c r="C285" t="s">
        <v>9</v>
      </c>
      <c r="D285" t="s">
        <v>8</v>
      </c>
      <c r="E285" t="s">
        <v>10</v>
      </c>
      <c r="F285">
        <v>60</v>
      </c>
      <c r="G285">
        <v>0.10705000000000001</v>
      </c>
      <c r="H285" t="s">
        <v>259</v>
      </c>
      <c r="J285">
        <f t="shared" si="4"/>
        <v>0.1071</v>
      </c>
    </row>
    <row r="286" spans="1:10" x14ac:dyDescent="0.3">
      <c r="A286">
        <v>362</v>
      </c>
      <c r="B286">
        <v>51.159315999999997</v>
      </c>
      <c r="C286" t="s">
        <v>8</v>
      </c>
      <c r="D286" t="s">
        <v>9</v>
      </c>
      <c r="E286" t="s">
        <v>10</v>
      </c>
      <c r="F286">
        <v>66</v>
      </c>
      <c r="G286">
        <v>0.50429199999999996</v>
      </c>
      <c r="H286" t="s">
        <v>260</v>
      </c>
      <c r="J286">
        <f t="shared" si="4"/>
        <v>0.50429999999999997</v>
      </c>
    </row>
    <row r="287" spans="1:10" x14ac:dyDescent="0.3">
      <c r="A287">
        <v>363</v>
      </c>
      <c r="B287">
        <v>51.164070000000002</v>
      </c>
      <c r="C287" t="s">
        <v>9</v>
      </c>
      <c r="D287" t="s">
        <v>8</v>
      </c>
      <c r="E287" t="s">
        <v>10</v>
      </c>
      <c r="F287">
        <v>60</v>
      </c>
      <c r="G287">
        <v>4.7540000000000004E-3</v>
      </c>
      <c r="H287" t="s">
        <v>259</v>
      </c>
      <c r="J287">
        <f t="shared" si="4"/>
        <v>4.8000000000000004E-3</v>
      </c>
    </row>
    <row r="288" spans="1:10" x14ac:dyDescent="0.3">
      <c r="A288">
        <v>364</v>
      </c>
      <c r="B288">
        <v>51.677548000000002</v>
      </c>
      <c r="C288" t="s">
        <v>8</v>
      </c>
      <c r="D288" t="s">
        <v>9</v>
      </c>
      <c r="E288" t="s">
        <v>10</v>
      </c>
      <c r="F288">
        <v>66</v>
      </c>
      <c r="G288">
        <v>0.51347799999999999</v>
      </c>
      <c r="H288" t="s">
        <v>260</v>
      </c>
      <c r="J288">
        <f t="shared" si="4"/>
        <v>0.51349999999999996</v>
      </c>
    </row>
    <row r="289" spans="1:13" x14ac:dyDescent="0.3">
      <c r="A289">
        <v>365</v>
      </c>
      <c r="B289">
        <v>51.780749</v>
      </c>
      <c r="C289" t="s">
        <v>9</v>
      </c>
      <c r="D289" t="s">
        <v>8</v>
      </c>
      <c r="E289" t="s">
        <v>10</v>
      </c>
      <c r="F289">
        <v>60</v>
      </c>
      <c r="G289">
        <v>0.103201</v>
      </c>
      <c r="H289" t="s">
        <v>259</v>
      </c>
      <c r="J289">
        <f t="shared" si="4"/>
        <v>0.1033</v>
      </c>
    </row>
    <row r="290" spans="1:13" x14ac:dyDescent="0.3">
      <c r="A290">
        <v>367</v>
      </c>
      <c r="B290">
        <v>52.288989999999998</v>
      </c>
      <c r="C290" t="s">
        <v>8</v>
      </c>
      <c r="D290" t="s">
        <v>9</v>
      </c>
      <c r="E290" t="s">
        <v>10</v>
      </c>
      <c r="F290">
        <v>66</v>
      </c>
      <c r="G290">
        <v>0.50824100000000005</v>
      </c>
      <c r="H290" t="s">
        <v>260</v>
      </c>
      <c r="J290">
        <f t="shared" si="4"/>
        <v>0.50829999999999997</v>
      </c>
    </row>
    <row r="291" spans="1:13" x14ac:dyDescent="0.3">
      <c r="A291">
        <v>368</v>
      </c>
      <c r="B291">
        <v>52.396251999999997</v>
      </c>
      <c r="C291" t="s">
        <v>9</v>
      </c>
      <c r="D291" t="s">
        <v>8</v>
      </c>
      <c r="E291" t="s">
        <v>10</v>
      </c>
      <c r="F291">
        <v>60</v>
      </c>
      <c r="G291">
        <v>0.107262</v>
      </c>
      <c r="H291" t="s">
        <v>259</v>
      </c>
      <c r="J291">
        <f t="shared" si="4"/>
        <v>0.10730000000000001</v>
      </c>
    </row>
    <row r="292" spans="1:13" x14ac:dyDescent="0.3">
      <c r="A292">
        <v>377</v>
      </c>
      <c r="B292">
        <v>56.222228000000001</v>
      </c>
      <c r="C292" t="s">
        <v>8</v>
      </c>
      <c r="D292" t="s">
        <v>246</v>
      </c>
      <c r="E292" t="s">
        <v>10</v>
      </c>
      <c r="F292">
        <v>66</v>
      </c>
      <c r="G292">
        <v>3.8259759999999998</v>
      </c>
      <c r="H292" t="s">
        <v>250</v>
      </c>
      <c r="J292">
        <f t="shared" si="4"/>
        <v>3.8260000000000001</v>
      </c>
    </row>
    <row r="293" spans="1:13" x14ac:dyDescent="0.3">
      <c r="A293">
        <v>378</v>
      </c>
      <c r="B293">
        <v>56.222250000000003</v>
      </c>
      <c r="C293" t="s">
        <v>8</v>
      </c>
      <c r="D293" t="s">
        <v>248</v>
      </c>
      <c r="E293" t="s">
        <v>10</v>
      </c>
      <c r="F293">
        <v>66</v>
      </c>
      <c r="G293">
        <v>2.1999999999999999E-5</v>
      </c>
      <c r="H293" t="s">
        <v>251</v>
      </c>
      <c r="J293">
        <f t="shared" si="4"/>
        <v>1E-4</v>
      </c>
    </row>
    <row r="294" spans="1:13" x14ac:dyDescent="0.3">
      <c r="A294">
        <v>379</v>
      </c>
      <c r="B294">
        <v>57.236929000000003</v>
      </c>
      <c r="C294" t="s">
        <v>8</v>
      </c>
      <c r="D294" t="s">
        <v>252</v>
      </c>
      <c r="E294" t="s">
        <v>10</v>
      </c>
      <c r="F294">
        <v>66</v>
      </c>
      <c r="G294">
        <v>1.0146790000000001</v>
      </c>
      <c r="H294" t="s">
        <v>254</v>
      </c>
      <c r="J294">
        <f t="shared" si="4"/>
        <v>1.0146999999999999</v>
      </c>
    </row>
    <row r="295" spans="1:13" x14ac:dyDescent="0.3">
      <c r="I295" s="2" t="s">
        <v>261</v>
      </c>
      <c r="J295" s="1">
        <f>SUM(J2:J294)</f>
        <v>56.666200000000018</v>
      </c>
      <c r="K295" s="1">
        <v>293</v>
      </c>
      <c r="L295" s="1">
        <f>J295/K295</f>
        <v>0.19340000000000007</v>
      </c>
      <c r="M295" s="1" t="s">
        <v>262</v>
      </c>
    </row>
    <row r="296" spans="1:13" x14ac:dyDescent="0.3">
      <c r="I296" s="1"/>
      <c r="J296" s="1"/>
      <c r="K296" s="1"/>
      <c r="L296" s="3">
        <f>L295*1000</f>
        <v>193.40000000000006</v>
      </c>
      <c r="M296" s="1" t="s">
        <v>263</v>
      </c>
    </row>
    <row r="297" spans="1:13" x14ac:dyDescent="0.3">
      <c r="I297" s="1"/>
      <c r="J297" s="1"/>
      <c r="K297" s="1"/>
      <c r="L297" s="1"/>
      <c r="M297" s="1"/>
    </row>
    <row r="298" spans="1:13" x14ac:dyDescent="0.3">
      <c r="I298" s="2" t="s">
        <v>264</v>
      </c>
      <c r="J298" s="1">
        <v>18592</v>
      </c>
      <c r="K298" s="1" t="s">
        <v>265</v>
      </c>
      <c r="L298" s="1"/>
      <c r="M298" s="1"/>
    </row>
    <row r="299" spans="1:13" x14ac:dyDescent="0.3">
      <c r="I299" s="1"/>
      <c r="J299" s="1">
        <f>J298/J295</f>
        <v>328.09681962086734</v>
      </c>
      <c r="K299" s="1" t="s">
        <v>265</v>
      </c>
      <c r="L299" s="1"/>
      <c r="M299" s="1"/>
    </row>
    <row r="300" spans="1:13" x14ac:dyDescent="0.3">
      <c r="I300" s="1"/>
      <c r="J300" s="1">
        <f>J299*8</f>
        <v>2624.7745569669387</v>
      </c>
      <c r="K300" s="1" t="s">
        <v>266</v>
      </c>
      <c r="L300" s="1"/>
      <c r="M300" s="1"/>
    </row>
    <row r="301" spans="1:13" x14ac:dyDescent="0.3">
      <c r="I301" s="1"/>
      <c r="J301" s="3">
        <f>J300/1000</f>
        <v>2.6247745569669387</v>
      </c>
      <c r="K301" s="1" t="s">
        <v>267</v>
      </c>
      <c r="L301" s="1"/>
      <c r="M301" s="1"/>
    </row>
    <row r="302" spans="1:13" x14ac:dyDescent="0.3">
      <c r="I302" s="1"/>
      <c r="J302" s="1"/>
      <c r="K302" s="1"/>
      <c r="L302" s="1"/>
      <c r="M302" s="1"/>
    </row>
    <row r="303" spans="1:13" x14ac:dyDescent="0.3">
      <c r="I303" s="2" t="s">
        <v>268</v>
      </c>
      <c r="J303" s="1">
        <v>293</v>
      </c>
      <c r="K303" s="1" t="s">
        <v>269</v>
      </c>
      <c r="L303" s="1"/>
      <c r="M303" s="1"/>
    </row>
    <row r="304" spans="1:13" x14ac:dyDescent="0.3">
      <c r="I304" s="1"/>
      <c r="J304" s="1">
        <v>0</v>
      </c>
      <c r="K304" s="1" t="s">
        <v>270</v>
      </c>
      <c r="L304" s="1"/>
      <c r="M304" s="1"/>
    </row>
    <row r="305" spans="9:13" x14ac:dyDescent="0.3">
      <c r="I305" s="1"/>
      <c r="J305" s="3">
        <f>(J304/J303)*100%</f>
        <v>0</v>
      </c>
      <c r="K305" s="1" t="s">
        <v>271</v>
      </c>
      <c r="L305" s="1"/>
      <c r="M30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2025-03-08T12:59:46Z</dcterms:created>
  <dcterms:modified xsi:type="dcterms:W3CDTF">2025-04-30T08:18:01Z</dcterms:modified>
</cp:coreProperties>
</file>