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Gk\Documents\1. Tugas-Tugas\4. Skripsi\Semhas\Data Penelitian\Data Selasa (04-03-2025) _localhost_\Perbandingan\Hari Libur (Sabtu-Minggu) - Done\"/>
    </mc:Choice>
  </mc:AlternateContent>
  <xr:revisionPtr revIDLastSave="0" documentId="13_ncr:1_{ACA74248-7C29-46C8-A200-031CD64468B8}" xr6:coauthVersionLast="47" xr6:coauthVersionMax="47" xr10:uidLastSave="{00000000-0000-0000-0000-000000000000}"/>
  <bookViews>
    <workbookView xWindow="-108" yWindow="-108" windowWidth="23256" windowHeight="13176" xr2:uid="{304212C7-8FA9-4614-B390-A266D6AFE8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26" i="1" l="1"/>
  <c r="X26" i="1"/>
  <c r="W26" i="1"/>
  <c r="Y10" i="1"/>
  <c r="X10" i="1"/>
  <c r="W10" i="1"/>
  <c r="E27" i="1" l="1"/>
  <c r="C27" i="1"/>
  <c r="C18" i="1"/>
  <c r="E18" i="1"/>
  <c r="E9" i="1"/>
  <c r="C9" i="1"/>
  <c r="G27" i="1"/>
  <c r="G18" i="1" l="1"/>
  <c r="G9" i="1" l="1"/>
</calcChain>
</file>

<file path=xl/sharedStrings.xml><?xml version="1.0" encoding="utf-8"?>
<sst xmlns="http://schemas.openxmlformats.org/spreadsheetml/2006/main" count="90" uniqueCount="12">
  <si>
    <t>QoS Level 0</t>
  </si>
  <si>
    <t>Percobaan</t>
  </si>
  <si>
    <t>Throughput</t>
  </si>
  <si>
    <t>Delay</t>
  </si>
  <si>
    <t>Packet Loss</t>
  </si>
  <si>
    <t>Kbps</t>
  </si>
  <si>
    <t>ms</t>
  </si>
  <si>
    <t>%</t>
  </si>
  <si>
    <t>Rata-Rata</t>
  </si>
  <si>
    <t>QoS Level 1</t>
  </si>
  <si>
    <t>QoS Level 2</t>
  </si>
  <si>
    <t>Rata-Rata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</si>
</sst>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Throughput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Sheet1!$J$4</c:f>
              <c:strCache>
                <c:ptCount val="1"/>
                <c:pt idx="0">
                  <c:v>QoS Level 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Sheet1!$J$5:$J$9</c:f>
              <c:numCache>
                <c:formatCode>General</c:formatCode>
                <c:ptCount val="5"/>
                <c:pt idx="0">
                  <c:v>1.639160282</c:v>
                </c:pt>
                <c:pt idx="1">
                  <c:v>1.7581695420000001</c:v>
                </c:pt>
                <c:pt idx="2">
                  <c:v>1.6855282840000001</c:v>
                </c:pt>
                <c:pt idx="3">
                  <c:v>1.7435341820000001</c:v>
                </c:pt>
                <c:pt idx="4">
                  <c:v>1.6438566050000001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83-4F77-9690-99CB8C1B8A5C}"/>
            </c:ext>
          </c:extLst>
        </c:ser>
        <c:ser>
          <c:idx val="1"/>
          <c:order val="1"/>
          <c:tx>
            <c:strRef>
              <c:f>Sheet1!$K$4</c:f>
              <c:strCache>
                <c:ptCount val="1"/>
                <c:pt idx="0">
                  <c:v>QoS Level 1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val>
            <c:numRef>
              <c:f>Sheet1!$K$5:$K$9</c:f>
              <c:numCache>
                <c:formatCode>General</c:formatCode>
                <c:ptCount val="5"/>
                <c:pt idx="0">
                  <c:v>4.2441585970000002</c:v>
                </c:pt>
                <c:pt idx="1">
                  <c:v>2.6247745569999998</c:v>
                </c:pt>
                <c:pt idx="2">
                  <c:v>4.1375981819999996</c:v>
                </c:pt>
                <c:pt idx="3">
                  <c:v>2.6695043869999999</c:v>
                </c:pt>
                <c:pt idx="4">
                  <c:v>2.5420525860000001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83-4F77-9690-99CB8C1B8A5C}"/>
            </c:ext>
          </c:extLst>
        </c:ser>
        <c:ser>
          <c:idx val="2"/>
          <c:order val="2"/>
          <c:tx>
            <c:strRef>
              <c:f>Sheet1!$L$4</c:f>
              <c:strCache>
                <c:ptCount val="1"/>
                <c:pt idx="0">
                  <c:v>QoS Level 2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val>
            <c:numRef>
              <c:f>Sheet1!$L$5:$L$9</c:f>
              <c:numCache>
                <c:formatCode>General</c:formatCode>
                <c:ptCount val="5"/>
                <c:pt idx="0">
                  <c:v>3.6197909990000001</c:v>
                </c:pt>
                <c:pt idx="1">
                  <c:v>5.437440649</c:v>
                </c:pt>
                <c:pt idx="2">
                  <c:v>6.7654769679999998</c:v>
                </c:pt>
                <c:pt idx="3">
                  <c:v>3.1695934569999999</c:v>
                </c:pt>
                <c:pt idx="4">
                  <c:v>3.2607508269999999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83-4F77-9690-99CB8C1B8A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3314831"/>
        <c:axId val="253311951"/>
      </c:lineChart>
      <c:catAx>
        <c:axId val="2533148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Percobaan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3311951"/>
        <c:crosses val="autoZero"/>
        <c:auto val="1"/>
        <c:lblAlgn val="ctr"/>
        <c:lblOffset val="100"/>
        <c:noMultiLvlLbl val="0"/>
      </c:catAx>
      <c:valAx>
        <c:axId val="253311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Kbps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3314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Delay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Sheet1!$J$20</c:f>
              <c:strCache>
                <c:ptCount val="1"/>
                <c:pt idx="0">
                  <c:v>QoS Level 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Sheet1!$J$21:$J$25</c:f>
              <c:numCache>
                <c:formatCode>General</c:formatCode>
                <c:ptCount val="5"/>
                <c:pt idx="0">
                  <c:v>312.59508199999999</c:v>
                </c:pt>
                <c:pt idx="1">
                  <c:v>291.87719299999998</c:v>
                </c:pt>
                <c:pt idx="2">
                  <c:v>304.38684210000002</c:v>
                </c:pt>
                <c:pt idx="3">
                  <c:v>292.11907220000001</c:v>
                </c:pt>
                <c:pt idx="4">
                  <c:v>312.65748500000001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F7-4175-9B2C-D496E4796E5E}"/>
            </c:ext>
          </c:extLst>
        </c:ser>
        <c:ser>
          <c:idx val="1"/>
          <c:order val="1"/>
          <c:tx>
            <c:strRef>
              <c:f>Sheet1!$K$20</c:f>
              <c:strCache>
                <c:ptCount val="1"/>
                <c:pt idx="0">
                  <c:v>QoS Level 1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val>
            <c:numRef>
              <c:f>Sheet1!$K$21:$K$25</c:f>
              <c:numCache>
                <c:formatCode>General</c:formatCode>
                <c:ptCount val="5"/>
                <c:pt idx="0">
                  <c:v>171.8294702</c:v>
                </c:pt>
                <c:pt idx="1">
                  <c:v>193.4</c:v>
                </c:pt>
                <c:pt idx="2">
                  <c:v>176.5786942</c:v>
                </c:pt>
                <c:pt idx="3">
                  <c:v>191.0766667</c:v>
                </c:pt>
                <c:pt idx="4">
                  <c:v>199.00678569999999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F7-4175-9B2C-D496E4796E5E}"/>
            </c:ext>
          </c:extLst>
        </c:ser>
        <c:ser>
          <c:idx val="2"/>
          <c:order val="2"/>
          <c:tx>
            <c:strRef>
              <c:f>Sheet1!$L$20</c:f>
              <c:strCache>
                <c:ptCount val="1"/>
                <c:pt idx="0">
                  <c:v>QoS Level 2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val>
            <c:numRef>
              <c:f>Sheet1!$L$21:$L$25</c:f>
              <c:numCache>
                <c:formatCode>General</c:formatCode>
                <c:ptCount val="5"/>
                <c:pt idx="0">
                  <c:v>136.6789757</c:v>
                </c:pt>
                <c:pt idx="1">
                  <c:v>134.27062939999999</c:v>
                </c:pt>
                <c:pt idx="2">
                  <c:v>107.4948718</c:v>
                </c:pt>
                <c:pt idx="3">
                  <c:v>156.44623659999999</c:v>
                </c:pt>
                <c:pt idx="4">
                  <c:v>153.7128342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CF7-4175-9B2C-D496E4796E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2864927"/>
        <c:axId val="182865407"/>
      </c:lineChart>
      <c:catAx>
        <c:axId val="1828649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Percobaan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865407"/>
        <c:crosses val="autoZero"/>
        <c:auto val="1"/>
        <c:lblAlgn val="ctr"/>
        <c:lblOffset val="100"/>
        <c:noMultiLvlLbl val="0"/>
      </c:catAx>
      <c:valAx>
        <c:axId val="182865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864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Perbandingan Rata-Rata Throughput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Sheet1!$V$10</c:f>
              <c:strCache>
                <c:ptCount val="1"/>
                <c:pt idx="0">
                  <c:v>Rata-Rata =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6B4-4FF2-8C91-56E494A1B877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36B4-4FF2-8C91-56E494A1B877}"/>
              </c:ext>
            </c:extLst>
          </c:dPt>
          <c:cat>
            <c:strRef>
              <c:f>Sheet1!$W$4:$Y$4</c:f>
              <c:strCache>
                <c:ptCount val="3"/>
                <c:pt idx="0">
                  <c:v>QoS Level 0</c:v>
                </c:pt>
                <c:pt idx="1">
                  <c:v>QoS Level 1</c:v>
                </c:pt>
                <c:pt idx="2">
                  <c:v>QoS Level 2</c:v>
                </c:pt>
              </c:strCache>
            </c:strRef>
          </c:cat>
          <c:val>
            <c:numRef>
              <c:f>Sheet1!$W$10:$Y$10</c:f>
              <c:numCache>
                <c:formatCode>General</c:formatCode>
                <c:ptCount val="3"/>
                <c:pt idx="0">
                  <c:v>1.6940497790000002</c:v>
                </c:pt>
                <c:pt idx="1">
                  <c:v>3.2436176617999997</c:v>
                </c:pt>
                <c:pt idx="2">
                  <c:v>4.4506105800000002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B4-4FF2-8C91-56E494A1B8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8850256"/>
        <c:axId val="1778859856"/>
      </c:barChart>
      <c:catAx>
        <c:axId val="1778850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859856"/>
        <c:crosses val="autoZero"/>
        <c:auto val="1"/>
        <c:lblAlgn val="ctr"/>
        <c:lblOffset val="100"/>
        <c:noMultiLvlLbl val="0"/>
      </c:catAx>
      <c:valAx>
        <c:axId val="1778859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Kbps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850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Perbandingan Rata-Rata Delay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Sheet1!$V$26</c:f>
              <c:strCache>
                <c:ptCount val="1"/>
                <c:pt idx="0">
                  <c:v>Rata-Rata =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34A-4117-9D6F-F9C8B81014FB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34A-4117-9D6F-F9C8B81014FB}"/>
              </c:ext>
            </c:extLst>
          </c:dPt>
          <c:cat>
            <c:strRef>
              <c:f>Sheet1!$W$20:$Y$20</c:f>
              <c:strCache>
                <c:ptCount val="3"/>
                <c:pt idx="0">
                  <c:v>QoS Level 0</c:v>
                </c:pt>
                <c:pt idx="1">
                  <c:v>QoS Level 1</c:v>
                </c:pt>
                <c:pt idx="2">
                  <c:v>QoS Level 2</c:v>
                </c:pt>
              </c:strCache>
            </c:strRef>
          </c:cat>
          <c:val>
            <c:numRef>
              <c:f>Sheet1!$W$26:$Y$26</c:f>
              <c:numCache>
                <c:formatCode>General</c:formatCode>
                <c:ptCount val="3"/>
                <c:pt idx="0">
                  <c:v>302.72713485999998</c:v>
                </c:pt>
                <c:pt idx="1">
                  <c:v>186.37832336000002</c:v>
                </c:pt>
                <c:pt idx="2">
                  <c:v>137.72070953999997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4A-4117-9D6F-F9C8B81014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0201920"/>
        <c:axId val="1780202880"/>
      </c:barChart>
      <c:catAx>
        <c:axId val="1780201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02880"/>
        <c:crosses val="autoZero"/>
        <c:auto val="1"/>
        <c:lblAlgn val="ctr"/>
        <c:lblOffset val="100"/>
        <c:noMultiLvlLbl val="0"/>
      </c:catAx>
      <c:valAx>
        <c:axId val="178020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01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3</xdr:row>
      <xdr:rowOff>0</xdr:rowOff>
    </xdr:from>
    <xdr:to>
      <xdr:col>20</xdr:col>
      <xdr:colOff>304800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B8BE04-25EB-F36B-F67A-BA176B614A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7620</xdr:colOff>
      <xdr:row>19</xdr:row>
      <xdr:rowOff>0</xdr:rowOff>
    </xdr:from>
    <xdr:to>
      <xdr:col>20</xdr:col>
      <xdr:colOff>312420</xdr:colOff>
      <xdr:row>34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BB26B5B-DD2D-3B54-82CB-BAC5DAA2F4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603607</xdr:colOff>
      <xdr:row>2</xdr:row>
      <xdr:rowOff>2568</xdr:rowOff>
    </xdr:from>
    <xdr:to>
      <xdr:col>33</xdr:col>
      <xdr:colOff>312506</xdr:colOff>
      <xdr:row>17</xdr:row>
      <xdr:rowOff>48802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6631AF9-B0FA-F371-A880-14EC57537B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603608</xdr:colOff>
      <xdr:row>18</xdr:row>
      <xdr:rowOff>2568</xdr:rowOff>
    </xdr:from>
    <xdr:to>
      <xdr:col>33</xdr:col>
      <xdr:colOff>312507</xdr:colOff>
      <xdr:row>33</xdr:row>
      <xdr:rowOff>48802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263E94B-4E01-C8A8-B473-1434276694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0B4EA-F2DD-42A2-AC44-EE6971D58C65}">
  <dimension ref="B2:Y27"/>
  <sheetViews>
    <sheetView tabSelected="1" zoomScale="71" workbookViewId="0">
      <selection activeCell="W19" sqref="W19"/>
    </sheetView>
  </sheetViews>
  <sheetFormatPr defaultRowHeight="14.4" x14ac:dyDescent="0.3"/>
  <cols>
    <col min="2" max="2" width="10.6640625" bestFit="1" customWidth="1"/>
    <col min="3" max="3" width="12" bestFit="1" customWidth="1"/>
    <col min="4" max="4" width="5.109375" bestFit="1" customWidth="1"/>
    <col min="5" max="5" width="12" bestFit="1" customWidth="1"/>
    <col min="6" max="6" width="3.44140625" bestFit="1" customWidth="1"/>
    <col min="7" max="7" width="10.6640625" bestFit="1" customWidth="1"/>
    <col min="8" max="8" width="2.44140625" bestFit="1" customWidth="1"/>
    <col min="10" max="12" width="12" bestFit="1" customWidth="1"/>
    <col min="22" max="22" width="10.6640625" bestFit="1" customWidth="1"/>
    <col min="23" max="25" width="12" bestFit="1" customWidth="1"/>
  </cols>
  <sheetData>
    <row r="2" spans="2:25" x14ac:dyDescent="0.3">
      <c r="B2" s="1" t="s">
        <v>0</v>
      </c>
      <c r="C2" s="2"/>
    </row>
    <row r="3" spans="2:25" x14ac:dyDescent="0.3">
      <c r="B3" s="3" t="s">
        <v>1</v>
      </c>
      <c r="C3" s="3" t="s">
        <v>2</v>
      </c>
      <c r="E3" s="3" t="s">
        <v>3</v>
      </c>
      <c r="G3" s="3" t="s">
        <v>4</v>
      </c>
      <c r="J3" s="3" t="s">
        <v>2</v>
      </c>
      <c r="W3" s="3" t="s">
        <v>2</v>
      </c>
    </row>
    <row r="4" spans="2:25" x14ac:dyDescent="0.3">
      <c r="B4" s="2">
        <v>1</v>
      </c>
      <c r="C4" s="2">
        <v>1.639160282</v>
      </c>
      <c r="D4" s="2" t="s">
        <v>5</v>
      </c>
      <c r="E4" s="2">
        <v>312.59508199999999</v>
      </c>
      <c r="F4" s="2" t="s">
        <v>6</v>
      </c>
      <c r="G4" s="2">
        <v>0</v>
      </c>
      <c r="H4" s="2" t="s">
        <v>7</v>
      </c>
      <c r="J4" s="3" t="s">
        <v>0</v>
      </c>
      <c r="K4" s="3" t="s">
        <v>9</v>
      </c>
      <c r="L4" s="3" t="s">
        <v>10</v>
      </c>
      <c r="W4" s="3" t="s">
        <v>0</v>
      </c>
      <c r="X4" s="3" t="s">
        <v>9</v>
      </c>
      <c r="Y4" s="3" t="s">
        <v>10</v>
      </c>
    </row>
    <row r="5" spans="2:25" x14ac:dyDescent="0.3">
      <c r="B5" s="2">
        <v>2</v>
      </c>
      <c r="C5" s="2">
        <v>1.7581695420000001</v>
      </c>
      <c r="D5" s="2" t="s">
        <v>5</v>
      </c>
      <c r="E5" s="2">
        <v>291.87719299999998</v>
      </c>
      <c r="F5" s="2" t="s">
        <v>6</v>
      </c>
      <c r="G5" s="2">
        <v>0</v>
      </c>
      <c r="H5" s="2" t="s">
        <v>7</v>
      </c>
      <c r="J5" s="2">
        <v>1.639160282</v>
      </c>
      <c r="K5" s="2">
        <v>4.2441585970000002</v>
      </c>
      <c r="L5" s="2">
        <v>3.6197909990000001</v>
      </c>
      <c r="W5" s="2">
        <v>1.639160282</v>
      </c>
      <c r="X5" s="2">
        <v>4.2441585970000002</v>
      </c>
      <c r="Y5" s="2">
        <v>3.6197909990000001</v>
      </c>
    </row>
    <row r="6" spans="2:25" x14ac:dyDescent="0.3">
      <c r="B6" s="2">
        <v>3</v>
      </c>
      <c r="C6" s="2">
        <v>1.6855282840000001</v>
      </c>
      <c r="D6" s="2" t="s">
        <v>5</v>
      </c>
      <c r="E6" s="2">
        <v>304.38684210000002</v>
      </c>
      <c r="F6" s="2" t="s">
        <v>6</v>
      </c>
      <c r="G6" s="2">
        <v>0</v>
      </c>
      <c r="H6" s="2" t="s">
        <v>7</v>
      </c>
      <c r="J6" s="2">
        <v>1.7581695420000001</v>
      </c>
      <c r="K6" s="2">
        <v>2.6247745569999998</v>
      </c>
      <c r="L6" s="2">
        <v>5.437440649</v>
      </c>
      <c r="W6" s="2">
        <v>1.7581695420000001</v>
      </c>
      <c r="X6" s="2">
        <v>2.6247745569999998</v>
      </c>
      <c r="Y6" s="2">
        <v>5.437440649</v>
      </c>
    </row>
    <row r="7" spans="2:25" x14ac:dyDescent="0.3">
      <c r="B7" s="2">
        <v>4</v>
      </c>
      <c r="C7" s="2">
        <v>1.7435341820000001</v>
      </c>
      <c r="D7" s="2" t="s">
        <v>5</v>
      </c>
      <c r="E7" s="2">
        <v>292.11907220000001</v>
      </c>
      <c r="F7" s="2" t="s">
        <v>6</v>
      </c>
      <c r="G7" s="2">
        <v>0</v>
      </c>
      <c r="H7" s="2" t="s">
        <v>7</v>
      </c>
      <c r="J7" s="2">
        <v>1.6855282840000001</v>
      </c>
      <c r="K7" s="2">
        <v>4.1375981819999996</v>
      </c>
      <c r="L7" s="2">
        <v>6.7654769679999998</v>
      </c>
      <c r="W7" s="2">
        <v>1.6855282840000001</v>
      </c>
      <c r="X7" s="2">
        <v>4.1375981819999996</v>
      </c>
      <c r="Y7" s="2">
        <v>6.7654769679999998</v>
      </c>
    </row>
    <row r="8" spans="2:25" x14ac:dyDescent="0.3">
      <c r="B8" s="2">
        <v>5</v>
      </c>
      <c r="C8" s="2">
        <v>1.6438566050000001</v>
      </c>
      <c r="D8" s="2" t="s">
        <v>5</v>
      </c>
      <c r="E8" s="2">
        <v>312.65748500000001</v>
      </c>
      <c r="F8" s="2" t="s">
        <v>6</v>
      </c>
      <c r="G8" s="2">
        <v>0</v>
      </c>
      <c r="H8" s="2" t="s">
        <v>7</v>
      </c>
      <c r="J8" s="2">
        <v>1.7435341820000001</v>
      </c>
      <c r="K8" s="2">
        <v>2.6695043869999999</v>
      </c>
      <c r="L8" s="2">
        <v>3.1695934569999999</v>
      </c>
      <c r="W8" s="2">
        <v>1.7435341820000001</v>
      </c>
      <c r="X8" s="2">
        <v>2.6695043869999999</v>
      </c>
      <c r="Y8" s="2">
        <v>3.1695934569999999</v>
      </c>
    </row>
    <row r="9" spans="2:25" x14ac:dyDescent="0.3">
      <c r="B9" s="1" t="s">
        <v>8</v>
      </c>
      <c r="C9" s="1">
        <f>AVERAGE(C4:C8)</f>
        <v>1.6940497790000002</v>
      </c>
      <c r="D9" s="1" t="s">
        <v>5</v>
      </c>
      <c r="E9" s="1">
        <f>AVERAGE(E4:E8)</f>
        <v>302.72713485999998</v>
      </c>
      <c r="F9" s="1" t="s">
        <v>6</v>
      </c>
      <c r="G9" s="1">
        <f>AVERAGE(G4:G8)</f>
        <v>0</v>
      </c>
      <c r="H9" s="1" t="s">
        <v>7</v>
      </c>
      <c r="J9" s="2">
        <v>1.6438566050000001</v>
      </c>
      <c r="K9" s="2">
        <v>2.5420525860000001</v>
      </c>
      <c r="L9" s="2">
        <v>3.2607508269999999</v>
      </c>
      <c r="W9" s="2">
        <v>1.6438566050000001</v>
      </c>
      <c r="X9" s="2">
        <v>2.5420525860000001</v>
      </c>
      <c r="Y9" s="2">
        <v>3.2607508269999999</v>
      </c>
    </row>
    <row r="10" spans="2:25" x14ac:dyDescent="0.3">
      <c r="V10" s="4" t="s">
        <v>11</v>
      </c>
      <c r="W10" s="5">
        <f>AVERAGE(W5:W9)</f>
        <v>1.6940497790000002</v>
      </c>
      <c r="X10" s="5">
        <f>AVERAGE(X5:X9)</f>
        <v>3.2436176617999997</v>
      </c>
      <c r="Y10" s="5">
        <f>AVERAGE(Y5:Y9)</f>
        <v>4.4506105800000002</v>
      </c>
    </row>
    <row r="11" spans="2:25" x14ac:dyDescent="0.3">
      <c r="B11" s="1" t="s">
        <v>9</v>
      </c>
      <c r="C11" s="2"/>
    </row>
    <row r="12" spans="2:25" x14ac:dyDescent="0.3">
      <c r="B12" s="3" t="s">
        <v>1</v>
      </c>
      <c r="C12" s="3" t="s">
        <v>2</v>
      </c>
      <c r="E12" s="3" t="s">
        <v>3</v>
      </c>
      <c r="G12" s="3" t="s">
        <v>4</v>
      </c>
    </row>
    <row r="13" spans="2:25" x14ac:dyDescent="0.3">
      <c r="B13" s="2">
        <v>1</v>
      </c>
      <c r="C13" s="2">
        <v>4.2441585970000002</v>
      </c>
      <c r="D13" s="2" t="s">
        <v>5</v>
      </c>
      <c r="E13" s="2">
        <v>171.8294702</v>
      </c>
      <c r="F13" s="2" t="s">
        <v>6</v>
      </c>
      <c r="G13" s="2">
        <v>0</v>
      </c>
      <c r="H13" s="2" t="s">
        <v>7</v>
      </c>
    </row>
    <row r="14" spans="2:25" x14ac:dyDescent="0.3">
      <c r="B14" s="2">
        <v>2</v>
      </c>
      <c r="C14" s="2">
        <v>2.6247745569999998</v>
      </c>
      <c r="D14" s="2" t="s">
        <v>5</v>
      </c>
      <c r="E14" s="2">
        <v>193.4</v>
      </c>
      <c r="F14" s="2" t="s">
        <v>6</v>
      </c>
      <c r="G14" s="2">
        <v>0</v>
      </c>
      <c r="H14" s="2" t="s">
        <v>7</v>
      </c>
    </row>
    <row r="15" spans="2:25" x14ac:dyDescent="0.3">
      <c r="B15" s="2">
        <v>3</v>
      </c>
      <c r="C15" s="2">
        <v>4.1375981819999996</v>
      </c>
      <c r="D15" s="2" t="s">
        <v>5</v>
      </c>
      <c r="E15" s="2">
        <v>176.5786942</v>
      </c>
      <c r="F15" s="2" t="s">
        <v>6</v>
      </c>
      <c r="G15" s="2">
        <v>0</v>
      </c>
      <c r="H15" s="2" t="s">
        <v>7</v>
      </c>
    </row>
    <row r="16" spans="2:25" x14ac:dyDescent="0.3">
      <c r="B16" s="2">
        <v>4</v>
      </c>
      <c r="C16" s="2">
        <v>2.6695043869999999</v>
      </c>
      <c r="D16" s="2" t="s">
        <v>5</v>
      </c>
      <c r="E16" s="2">
        <v>191.0766667</v>
      </c>
      <c r="F16" s="2" t="s">
        <v>6</v>
      </c>
      <c r="G16" s="2">
        <v>0</v>
      </c>
      <c r="H16" s="2" t="s">
        <v>7</v>
      </c>
    </row>
    <row r="17" spans="2:25" x14ac:dyDescent="0.3">
      <c r="B17" s="2">
        <v>5</v>
      </c>
      <c r="C17" s="2">
        <v>2.5420525860000001</v>
      </c>
      <c r="D17" s="2" t="s">
        <v>5</v>
      </c>
      <c r="E17" s="2">
        <v>199.00678569999999</v>
      </c>
      <c r="F17" s="2" t="s">
        <v>6</v>
      </c>
      <c r="G17" s="2">
        <v>0</v>
      </c>
      <c r="H17" s="2" t="s">
        <v>7</v>
      </c>
    </row>
    <row r="18" spans="2:25" x14ac:dyDescent="0.3">
      <c r="B18" s="1" t="s">
        <v>8</v>
      </c>
      <c r="C18" s="1">
        <f>AVERAGE(C13:C17)</f>
        <v>3.2436176617999997</v>
      </c>
      <c r="D18" s="1" t="s">
        <v>5</v>
      </c>
      <c r="E18" s="1">
        <f>AVERAGE(E13:E17)</f>
        <v>186.37832336000002</v>
      </c>
      <c r="F18" s="1" t="s">
        <v>6</v>
      </c>
      <c r="G18" s="1">
        <f>AVERAGE(G13:G17)</f>
        <v>0</v>
      </c>
      <c r="H18" s="1" t="s">
        <v>7</v>
      </c>
    </row>
    <row r="19" spans="2:25" x14ac:dyDescent="0.3">
      <c r="J19" s="3" t="s">
        <v>3</v>
      </c>
      <c r="W19" s="3" t="s">
        <v>3</v>
      </c>
    </row>
    <row r="20" spans="2:25" x14ac:dyDescent="0.3">
      <c r="B20" s="1" t="s">
        <v>10</v>
      </c>
      <c r="C20" s="2"/>
      <c r="J20" s="3" t="s">
        <v>0</v>
      </c>
      <c r="K20" s="3" t="s">
        <v>9</v>
      </c>
      <c r="L20" s="3" t="s">
        <v>10</v>
      </c>
      <c r="W20" s="3" t="s">
        <v>0</v>
      </c>
      <c r="X20" s="3" t="s">
        <v>9</v>
      </c>
      <c r="Y20" s="3" t="s">
        <v>10</v>
      </c>
    </row>
    <row r="21" spans="2:25" x14ac:dyDescent="0.3">
      <c r="B21" s="3" t="s">
        <v>1</v>
      </c>
      <c r="C21" s="3" t="s">
        <v>2</v>
      </c>
      <c r="E21" s="3" t="s">
        <v>3</v>
      </c>
      <c r="G21" s="3" t="s">
        <v>4</v>
      </c>
      <c r="J21" s="2">
        <v>312.59508199999999</v>
      </c>
      <c r="K21" s="2">
        <v>171.8294702</v>
      </c>
      <c r="L21" s="2">
        <v>136.6789757</v>
      </c>
      <c r="W21" s="2">
        <v>312.59508199999999</v>
      </c>
      <c r="X21" s="2">
        <v>171.8294702</v>
      </c>
      <c r="Y21" s="2">
        <v>136.6789757</v>
      </c>
    </row>
    <row r="22" spans="2:25" x14ac:dyDescent="0.3">
      <c r="B22" s="2">
        <v>1</v>
      </c>
      <c r="C22" s="2">
        <v>3.6197909990000001</v>
      </c>
      <c r="D22" s="2" t="s">
        <v>5</v>
      </c>
      <c r="E22" s="2">
        <v>136.6789757</v>
      </c>
      <c r="F22" s="2" t="s">
        <v>6</v>
      </c>
      <c r="G22" s="2">
        <v>0</v>
      </c>
      <c r="H22" s="2" t="s">
        <v>7</v>
      </c>
      <c r="J22" s="2">
        <v>291.87719299999998</v>
      </c>
      <c r="K22" s="2">
        <v>193.4</v>
      </c>
      <c r="L22" s="2">
        <v>134.27062939999999</v>
      </c>
      <c r="W22" s="2">
        <v>291.87719299999998</v>
      </c>
      <c r="X22" s="2">
        <v>193.4</v>
      </c>
      <c r="Y22" s="2">
        <v>134.27062939999999</v>
      </c>
    </row>
    <row r="23" spans="2:25" x14ac:dyDescent="0.3">
      <c r="B23" s="2">
        <v>2</v>
      </c>
      <c r="C23" s="2">
        <v>5.437440649</v>
      </c>
      <c r="D23" s="2" t="s">
        <v>5</v>
      </c>
      <c r="E23" s="2">
        <v>134.27062939999999</v>
      </c>
      <c r="F23" s="2" t="s">
        <v>6</v>
      </c>
      <c r="G23" s="2">
        <v>0</v>
      </c>
      <c r="H23" s="2" t="s">
        <v>7</v>
      </c>
      <c r="J23" s="2">
        <v>304.38684210000002</v>
      </c>
      <c r="K23" s="2">
        <v>176.5786942</v>
      </c>
      <c r="L23" s="2">
        <v>107.4948718</v>
      </c>
      <c r="W23" s="2">
        <v>304.38684210000002</v>
      </c>
      <c r="X23" s="2">
        <v>176.5786942</v>
      </c>
      <c r="Y23" s="2">
        <v>107.4948718</v>
      </c>
    </row>
    <row r="24" spans="2:25" x14ac:dyDescent="0.3">
      <c r="B24" s="2">
        <v>3</v>
      </c>
      <c r="C24" s="2">
        <v>6.7654769679999998</v>
      </c>
      <c r="D24" s="2" t="s">
        <v>5</v>
      </c>
      <c r="E24" s="2">
        <v>107.4948718</v>
      </c>
      <c r="F24" s="2" t="s">
        <v>6</v>
      </c>
      <c r="G24" s="2">
        <v>0</v>
      </c>
      <c r="H24" s="2" t="s">
        <v>7</v>
      </c>
      <c r="J24" s="2">
        <v>292.11907220000001</v>
      </c>
      <c r="K24" s="2">
        <v>191.0766667</v>
      </c>
      <c r="L24" s="2">
        <v>156.44623659999999</v>
      </c>
      <c r="W24" s="2">
        <v>292.11907220000001</v>
      </c>
      <c r="X24" s="2">
        <v>191.0766667</v>
      </c>
      <c r="Y24" s="2">
        <v>156.44623659999999</v>
      </c>
    </row>
    <row r="25" spans="2:25" x14ac:dyDescent="0.3">
      <c r="B25" s="2">
        <v>4</v>
      </c>
      <c r="C25" s="2">
        <v>3.1695934569999999</v>
      </c>
      <c r="D25" s="2" t="s">
        <v>5</v>
      </c>
      <c r="E25" s="2">
        <v>156.44623659999999</v>
      </c>
      <c r="F25" s="2" t="s">
        <v>6</v>
      </c>
      <c r="G25" s="2">
        <v>0</v>
      </c>
      <c r="H25" s="2" t="s">
        <v>7</v>
      </c>
      <c r="J25" s="2">
        <v>312.65748500000001</v>
      </c>
      <c r="K25" s="2">
        <v>199.00678569999999</v>
      </c>
      <c r="L25" s="2">
        <v>153.7128342</v>
      </c>
      <c r="W25" s="2">
        <v>312.65748500000001</v>
      </c>
      <c r="X25" s="2">
        <v>199.00678569999999</v>
      </c>
      <c r="Y25" s="2">
        <v>153.7128342</v>
      </c>
    </row>
    <row r="26" spans="2:25" x14ac:dyDescent="0.3">
      <c r="B26" s="2">
        <v>5</v>
      </c>
      <c r="C26" s="2">
        <v>3.2607508269999999</v>
      </c>
      <c r="D26" s="2" t="s">
        <v>5</v>
      </c>
      <c r="E26" s="2">
        <v>153.7128342</v>
      </c>
      <c r="F26" s="2" t="s">
        <v>6</v>
      </c>
      <c r="G26" s="2">
        <v>0</v>
      </c>
      <c r="H26" s="2" t="s">
        <v>7</v>
      </c>
      <c r="V26" s="4" t="s">
        <v>11</v>
      </c>
      <c r="W26" s="5">
        <f>AVERAGE(W21:W25)</f>
        <v>302.72713485999998</v>
      </c>
      <c r="X26" s="5">
        <f>AVERAGE(X21:X25)</f>
        <v>186.37832336000002</v>
      </c>
      <c r="Y26" s="5">
        <f>AVERAGE(Y21:Y25)</f>
        <v>137.72070953999997</v>
      </c>
    </row>
    <row r="27" spans="2:25" x14ac:dyDescent="0.3">
      <c r="B27" s="1" t="s">
        <v>8</v>
      </c>
      <c r="C27" s="1">
        <f>AVERAGE(C22:C26)</f>
        <v>4.4506105800000002</v>
      </c>
      <c r="D27" s="1" t="s">
        <v>5</v>
      </c>
      <c r="E27" s="1">
        <f>AVERAGE(E22:E26)</f>
        <v>137.72070953999997</v>
      </c>
      <c r="F27" s="1" t="s">
        <v>6</v>
      </c>
      <c r="G27" s="1">
        <f>AVERAGE(G22:G26)</f>
        <v>0</v>
      </c>
      <c r="H27" s="1" t="s">
        <v>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 Maulana Setyawan</dc:creator>
  <cp:lastModifiedBy>Alif Maulana Setyawan</cp:lastModifiedBy>
  <dcterms:created xsi:type="dcterms:W3CDTF">2025-03-08T13:51:06Z</dcterms:created>
  <dcterms:modified xsi:type="dcterms:W3CDTF">2025-04-30T08:44:44Z</dcterms:modified>
</cp:coreProperties>
</file>