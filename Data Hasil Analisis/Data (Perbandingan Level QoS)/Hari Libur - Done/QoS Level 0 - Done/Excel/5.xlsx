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0\Excel\"/>
    </mc:Choice>
  </mc:AlternateContent>
  <xr:revisionPtr revIDLastSave="0" documentId="13_ncr:1_{BC0F3EB7-04BC-4653-8BF9-8D3ACA1550CF}" xr6:coauthVersionLast="47" xr6:coauthVersionMax="47" xr10:uidLastSave="{00000000-0000-0000-0000-000000000000}"/>
  <bookViews>
    <workbookView xWindow="-108" yWindow="-108" windowWidth="23256" windowHeight="13176" xr2:uid="{6CEF4CCC-367B-4EE9-A446-2E1060800F61}"/>
  </bookViews>
  <sheets>
    <sheet name="5" sheetId="1" r:id="rId1"/>
  </sheets>
  <calcPr calcId="191029"/>
</workbook>
</file>

<file path=xl/calcChain.xml><?xml version="1.0" encoding="utf-8"?>
<calcChain xmlns="http://schemas.openxmlformats.org/spreadsheetml/2006/main">
  <c r="J179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3" i="1"/>
  <c r="J169" i="1" s="1"/>
  <c r="J173" i="1" l="1"/>
  <c r="J174" i="1" s="1"/>
  <c r="J175" i="1" s="1"/>
  <c r="L169" i="1"/>
  <c r="L170" i="1" s="1"/>
</calcChain>
</file>

<file path=xl/sharedStrings.xml><?xml version="1.0" encoding="utf-8"?>
<sst xmlns="http://schemas.openxmlformats.org/spreadsheetml/2006/main" count="688" uniqueCount="107">
  <si>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</si>
  <si>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</si>
  <si>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</si>
  <si>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</si>
  <si>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</si>
  <si>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</si>
  <si>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</si>
  <si>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</si>
  <si>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</si>
  <si>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10.10.103.161</t>
  </si>
  <si>
    <t>TCP</t>
  </si>
  <si>
    <t>64112  &gt;  7680 [SYN] Seq=0 Win=64240 Len=0 MSS=1460 WS=256 SACK_PERM</t>
  </si>
  <si>
    <t>192.168.2.4</t>
  </si>
  <si>
    <t>64113  &gt;  1883 [SYN] Seq=0 Win=64240 Len=0 MSS=1460 WS=256 SACK_PERM</t>
  </si>
  <si>
    <t>1883  &gt;  64113 [SYN, ACK] Seq=0 Ack=1 Win=64240 Len=0 MSS=1460 SACK_PERM WS=128</t>
  </si>
  <si>
    <t>64113  &gt;  1883 [ACK] Seq=1 Ack=1 Win=1051136 Len=0</t>
  </si>
  <si>
    <t>MQTT</t>
  </si>
  <si>
    <t>Connect Command</t>
  </si>
  <si>
    <t>1883  &gt;  64113 [ACK] Seq=1 Ack=46 Win=64256 Len=0</t>
  </si>
  <si>
    <t>Connect Ack</t>
  </si>
  <si>
    <t>64113  &gt;  1883 [ACK] Seq=46 Ack=5 Win=1051136 Len=0</t>
  </si>
  <si>
    <t>Subscribe Request (id=53410) [test/QoS/]</t>
  </si>
  <si>
    <t>Subscribe Ack (id=53410)</t>
  </si>
  <si>
    <t>64113  &gt;  1883 [ACK] Seq=62 Ack=10 Win=1051136 Len=0</t>
  </si>
  <si>
    <t>Publish Message [test/QoS/]</t>
  </si>
  <si>
    <t>64113  &gt;  1883 [ACK] Seq=79 Ack=27 Win=1051136 Len=0</t>
  </si>
  <si>
    <t>10.180.14.5</t>
  </si>
  <si>
    <t>64110  &gt;  7680 [SYN] Seq=0 Win=64240 Len=0 MSS=1460 WS=256 SACK_PERM</t>
  </si>
  <si>
    <t>10.10.203.33</t>
  </si>
  <si>
    <t>64109  &gt;  7680 [SYN] Seq=0 Win=64240 Len=0 MSS=1460 WS=256 SACK_PERM</t>
  </si>
  <si>
    <t>64113  &gt;  1883 [ACK] Seq=79 Ack=44 Win=1051136 Len=0</t>
  </si>
  <si>
    <t>[TCP Retransmission] 64112  &gt;  7680 [SYN] Seq=0 Win=64240 Len=0 MSS=1460 WS=256 SACK_PERM</t>
  </si>
  <si>
    <t>64113  &gt;  1883 [ACK] Seq=96 Ack=61 Win=1051136 Len=0</t>
  </si>
  <si>
    <t>64113  &gt;  1883 [ACK] Seq=96 Ack=78 Win=1050880 Len=0</t>
  </si>
  <si>
    <t>64113  &gt;  1883 [ACK] Seq=113 Ack=95 Win=1050880 Len=0</t>
  </si>
  <si>
    <t>64113  &gt;  1883 [ACK] Seq=113 Ack=112 Win=1050880 Len=0</t>
  </si>
  <si>
    <t>64113  &gt;  1883 [ACK] Seq=130 Ack=129 Win=1050880 Len=0</t>
  </si>
  <si>
    <t>64113  &gt;  1883 [ACK] Seq=130 Ack=146 Win=1050880 Len=0</t>
  </si>
  <si>
    <t>64113  &gt;  1883 [ACK] Seq=147 Ack=163 Win=1050880 Len=0</t>
  </si>
  <si>
    <t>64113  &gt;  1883 [ACK] Seq=147 Ack=180 Win=1050880 Len=0</t>
  </si>
  <si>
    <t>64113  &gt;  1883 [ACK] Seq=164 Ack=197 Win=1050880 Len=0</t>
  </si>
  <si>
    <t>10.10.200.223</t>
  </si>
  <si>
    <t>64114  &gt;  80 [SYN] Seq=0 Win=64240 Len=0 MSS=1460 WS=256 SACK_PERM</t>
  </si>
  <si>
    <t>64113  &gt;  1883 [ACK] Seq=164 Ack=214 Win=1050880 Len=0</t>
  </si>
  <si>
    <t>80  &gt;  64114 [RST, ACK] Seq=1 Ack=1 Win=0 Len=0</t>
  </si>
  <si>
    <t>64113  &gt;  1883 [ACK] Seq=181 Ack=231 Win=1050880 Len=0</t>
  </si>
  <si>
    <t>[TCP Port numbers reused] 64114  &gt;  80 [SYN] Seq=0 Win=64240 Len=0 MSS=1460 WS=256 SACK_PERM</t>
  </si>
  <si>
    <t>64113  &gt;  1883 [ACK] Seq=181 Ack=248 Win=1050880 Len=0</t>
  </si>
  <si>
    <t>64113  &gt;  1883 [ACK] Seq=198 Ack=265 Win=1050880 Len=0</t>
  </si>
  <si>
    <t>64113  &gt;  1883 [ACK] Seq=198 Ack=282 Win=1050880 Len=0</t>
  </si>
  <si>
    <t>[TCP Retransmission] 64110  &gt;  7680 [SYN] Seq=0 Win=64240 Len=0 MSS=1460 WS=256 SACK_PERM</t>
  </si>
  <si>
    <t>[TCP Retransmission] 64109  &gt;  7680 [SYN] Seq=0 Win=64240 Len=0 MSS=1460 WS=256 SACK_PERM</t>
  </si>
  <si>
    <t>64113  &gt;  1883 [ACK] Seq=215 Ack=299 Win=1050880 Len=0</t>
  </si>
  <si>
    <t>64113  &gt;  1883 [ACK] Seq=215 Ack=316 Win=1050880 Len=0</t>
  </si>
  <si>
    <t>64113  &gt;  1883 [ACK] Seq=232 Ack=333 Win=1050624 Len=0</t>
  </si>
  <si>
    <t>64113  &gt;  1883 [ACK] Seq=232 Ack=350 Win=1050624 Len=0</t>
  </si>
  <si>
    <t>64113  &gt;  1883 [ACK] Seq=249 Ack=367 Win=1050624 Len=0</t>
  </si>
  <si>
    <t>64113  &gt;  1883 [ACK] Seq=249 Ack=384 Win=1050624 Len=0</t>
  </si>
  <si>
    <t>64113  &gt;  1883 [ACK] Seq=266 Ack=401 Win=1050624 Len=0</t>
  </si>
  <si>
    <t>64113  &gt;  1883 [ACK] Seq=266 Ack=418 Win=1050624 Len=0</t>
  </si>
  <si>
    <t>64113  &gt;  1883 [ACK] Seq=283 Ack=435 Win=1050624 Len=0</t>
  </si>
  <si>
    <t>64113  &gt;  1883 [ACK] Seq=283 Ack=452 Win=1050624 Len=0</t>
  </si>
  <si>
    <t>64113  &gt;  1883 [ACK] Seq=300 Ack=469 Win=1050624 Len=0</t>
  </si>
  <si>
    <t>64113  &gt;  1883 [ACK] Seq=300 Ack=486 Win=1050624 Len=0</t>
  </si>
  <si>
    <t>64113  &gt;  1883 [ACK] Seq=317 Ack=503 Win=1050624 Len=0</t>
  </si>
  <si>
    <t>64113  &gt;  1883 [ACK] Seq=317 Ack=520 Win=1050624 Len=0</t>
  </si>
  <si>
    <t>64113  &gt;  1883 [ACK] Seq=334 Ack=537 Win=1050624 Len=0</t>
  </si>
  <si>
    <t>64113  &gt;  1883 [ACK] Seq=334 Ack=554 Win=1050624 Len=0</t>
  </si>
  <si>
    <t>64113  &gt;  1883 [ACK] Seq=351 Ack=571 Win=1050624 Len=0</t>
  </si>
  <si>
    <t>64113  &gt;  1883 [ACK] Seq=351 Ack=588 Win=1050368 Len=0</t>
  </si>
  <si>
    <t>64113  &gt;  1883 [ACK] Seq=368 Ack=605 Win=1050368 Len=0</t>
  </si>
  <si>
    <t>64113  &gt;  1883 [ACK] Seq=368 Ack=622 Win=1050368 Len=0</t>
  </si>
  <si>
    <t>64113  &gt;  1883 [ACK] Seq=385 Ack=639 Win=1050368 Len=0</t>
  </si>
  <si>
    <t>64115  &gt;  80 [SYN] Seq=0 Win=64240 Len=0 MSS=1460 WS=256 SACK_PERM</t>
  </si>
  <si>
    <t>64113  &gt;  1883 [ACK] Seq=385 Ack=656 Win=1050368 Len=0</t>
  </si>
  <si>
    <t>64113  &gt;  1883 [ACK] Seq=402 Ack=673 Win=1050368 Len=0</t>
  </si>
  <si>
    <t>[TCP Retransmission] 64115  &gt;  80 [SYN] Seq=0 Win=64240 Len=0 MSS=1460 WS=256 SACK_PERM</t>
  </si>
  <si>
    <t>64113  &gt;  1883 [ACK] Seq=402 Ack=690 Win=1050368 Len=0</t>
  </si>
  <si>
    <t>80  &gt;  64115 [RST, ACK] Seq=1 Ack=1 Win=0 Len=0</t>
  </si>
  <si>
    <t>[TCP Port numbers reused] 64115  &gt;  80 [SYN] Seq=0 Win=64240 Len=0 MSS=1460 WS=256 SACK_PERM</t>
  </si>
  <si>
    <t>64116  &gt;  80 [SYN] Seq=0 Win=64240 Len=0 MSS=1460 WS=256 SACK_PERM</t>
  </si>
  <si>
    <t>80  &gt;  64116 [RST, ACK] Seq=1 Ack=1 Win=0 Len=0</t>
  </si>
  <si>
    <t>[TCP Port numbers reused] 64116  &gt;  80 [SYN] Seq=0 Win=64240 Len=0 MSS=1460 WS=256 SACK_PERM</t>
  </si>
  <si>
    <t>10.10.202.101</t>
  </si>
  <si>
    <t>64117  &gt;  7680 [SYN] Seq=0 Win=64240 Len=0 MSS=1460 WS=256 SACK_PERM</t>
  </si>
  <si>
    <t>10.180.6.193</t>
  </si>
  <si>
    <t>64118  &gt;  7680 [SYN] Seq=0 Win=64240 Len=0 MSS=1460 WS=256 SACK_PERM</t>
  </si>
  <si>
    <t>[TCP Retransmission] 64117  &gt;  7680 [SYN] Seq=0 Win=64240 Len=0 MSS=1460 WS=256 SACK_PERM</t>
  </si>
  <si>
    <t>[TCP Retransmission] 64118  &gt;  7680 [SYN] Seq=0 Win=64240 Len=0 MSS=1460 WS=256 SACK_PERM</t>
  </si>
  <si>
    <t>10.10.103.58</t>
  </si>
  <si>
    <t>64119  &gt;  7680 [SYN] Seq=0 Win=64240 Len=0 MSS=1460 WS=256 SACK_PERM</t>
  </si>
  <si>
    <t>[TCP Retransmission] 64119  &gt;  7680 [SYN] Seq=0 Win=64240 Len=0 MSS=1460 WS=256 SACK_PERM</t>
  </si>
  <si>
    <t>64120  &gt;  80 [SYN] Seq=0 Win=64240 Len=0 MSS=1460 WS=256 SACK_PERM</t>
  </si>
  <si>
    <t>80  &gt;  64120 [RST, ACK] Seq=1 Ack=1 Win=0 Len=0</t>
  </si>
  <si>
    <t>[TCP Port numbers reused] 64120  &gt;  80 [SYN] Seq=0 Win=64240 Len=0 MSS=1460 WS=256 SACK_PERM</t>
  </si>
  <si>
    <t>[TCP Retransmission] 64120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</si>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</sst>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501704</xdr:colOff>
      <xdr:row>168</xdr:row>
      <xdr:rowOff>25978</xdr:rowOff>
    </xdr:from>
    <xdr:to>
      <xdr:col>7</xdr:col>
      <xdr:colOff>5797821</xdr:colOff>
      <xdr:row>196</xdr:row>
      <xdr:rowOff>71895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856A8-6057-3BB1-ECFB-EE6704758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1818" y="30575251"/>
          <a:ext cx="7720662" cy="5137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88DC-E0B1-4131-B7E4-5DE2BE8EDCD4}">
  <dimension ref="A1:M179"/>
  <sheetViews>
    <sheetView tabSelected="1" topLeftCell="F157" zoomScale="88" workbookViewId="0">
      <selection activeCell="O184" sqref="O184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1.247703</v>
      </c>
      <c r="C3" t="s">
        <v>8</v>
      </c>
      <c r="D3" t="s">
        <v>12</v>
      </c>
      <c r="E3" t="s">
        <v>10</v>
      </c>
      <c r="F3">
        <v>66</v>
      </c>
      <c r="G3">
        <v>1.247703</v>
      </c>
      <c r="H3" t="s">
        <v>13</v>
      </c>
      <c r="J3">
        <f>ROUNDUP(G3,4)</f>
        <v>1.2478</v>
      </c>
    </row>
    <row r="4" spans="1:10" x14ac:dyDescent="0.3">
      <c r="A4">
        <v>4</v>
      </c>
      <c r="B4">
        <v>1.2484310000000001</v>
      </c>
      <c r="C4" t="s">
        <v>12</v>
      </c>
      <c r="D4" t="s">
        <v>8</v>
      </c>
      <c r="E4" t="s">
        <v>10</v>
      </c>
      <c r="F4">
        <v>66</v>
      </c>
      <c r="G4">
        <v>7.2800000000000002E-4</v>
      </c>
      <c r="H4" t="s">
        <v>14</v>
      </c>
      <c r="J4">
        <f t="shared" ref="J4:J67" si="0">ROUNDUP(G4,4)</f>
        <v>8.0000000000000004E-4</v>
      </c>
    </row>
    <row r="5" spans="1:10" x14ac:dyDescent="0.3">
      <c r="A5">
        <v>5</v>
      </c>
      <c r="B5">
        <v>1.248502</v>
      </c>
      <c r="C5" t="s">
        <v>8</v>
      </c>
      <c r="D5" t="s">
        <v>12</v>
      </c>
      <c r="E5" t="s">
        <v>10</v>
      </c>
      <c r="F5">
        <v>54</v>
      </c>
      <c r="G5">
        <v>7.1000000000000005E-5</v>
      </c>
      <c r="H5" t="s">
        <v>15</v>
      </c>
      <c r="J5">
        <f t="shared" si="0"/>
        <v>1E-4</v>
      </c>
    </row>
    <row r="6" spans="1:10" x14ac:dyDescent="0.3">
      <c r="A6">
        <v>6</v>
      </c>
      <c r="B6">
        <v>1.250494</v>
      </c>
      <c r="C6" t="s">
        <v>8</v>
      </c>
      <c r="D6" t="s">
        <v>12</v>
      </c>
      <c r="E6" t="s">
        <v>16</v>
      </c>
      <c r="F6">
        <v>99</v>
      </c>
      <c r="G6">
        <v>1.9919999999999998E-3</v>
      </c>
      <c r="H6" t="s">
        <v>17</v>
      </c>
      <c r="J6">
        <f t="shared" si="0"/>
        <v>2E-3</v>
      </c>
    </row>
    <row r="7" spans="1:10" x14ac:dyDescent="0.3">
      <c r="A7">
        <v>7</v>
      </c>
      <c r="B7">
        <v>1.250926</v>
      </c>
      <c r="C7" t="s">
        <v>12</v>
      </c>
      <c r="D7" t="s">
        <v>8</v>
      </c>
      <c r="E7" t="s">
        <v>10</v>
      </c>
      <c r="F7">
        <v>60</v>
      </c>
      <c r="G7">
        <v>4.3199999999999998E-4</v>
      </c>
      <c r="H7" t="s">
        <v>18</v>
      </c>
      <c r="J7">
        <f t="shared" si="0"/>
        <v>5.0000000000000001E-4</v>
      </c>
    </row>
    <row r="8" spans="1:10" x14ac:dyDescent="0.3">
      <c r="A8">
        <v>8</v>
      </c>
      <c r="B8">
        <v>1.2551129999999999</v>
      </c>
      <c r="C8" t="s">
        <v>12</v>
      </c>
      <c r="D8" t="s">
        <v>8</v>
      </c>
      <c r="E8" t="s">
        <v>16</v>
      </c>
      <c r="F8">
        <v>60</v>
      </c>
      <c r="G8">
        <v>4.1869999999999997E-3</v>
      </c>
      <c r="H8" t="s">
        <v>19</v>
      </c>
      <c r="J8">
        <f t="shared" si="0"/>
        <v>4.2000000000000006E-3</v>
      </c>
    </row>
    <row r="9" spans="1:10" x14ac:dyDescent="0.3">
      <c r="A9">
        <v>9</v>
      </c>
      <c r="B9">
        <v>1.2951950000000001</v>
      </c>
      <c r="C9" t="s">
        <v>8</v>
      </c>
      <c r="D9" t="s">
        <v>12</v>
      </c>
      <c r="E9" t="s">
        <v>10</v>
      </c>
      <c r="F9">
        <v>54</v>
      </c>
      <c r="G9">
        <v>4.0082E-2</v>
      </c>
      <c r="H9" t="s">
        <v>20</v>
      </c>
      <c r="J9">
        <f t="shared" si="0"/>
        <v>4.0100000000000004E-2</v>
      </c>
    </row>
    <row r="10" spans="1:10" x14ac:dyDescent="0.3">
      <c r="A10">
        <v>10</v>
      </c>
      <c r="B10">
        <v>1.297871</v>
      </c>
      <c r="C10" t="s">
        <v>8</v>
      </c>
      <c r="D10" t="s">
        <v>12</v>
      </c>
      <c r="E10" t="s">
        <v>16</v>
      </c>
      <c r="F10">
        <v>70</v>
      </c>
      <c r="G10">
        <v>2.676E-3</v>
      </c>
      <c r="H10" t="s">
        <v>21</v>
      </c>
      <c r="J10">
        <f t="shared" si="0"/>
        <v>2.6999999999999997E-3</v>
      </c>
    </row>
    <row r="11" spans="1:10" x14ac:dyDescent="0.3">
      <c r="A11">
        <v>11</v>
      </c>
      <c r="B11">
        <v>1.302886</v>
      </c>
      <c r="C11" t="s">
        <v>12</v>
      </c>
      <c r="D11" t="s">
        <v>8</v>
      </c>
      <c r="E11" t="s">
        <v>16</v>
      </c>
      <c r="F11">
        <v>60</v>
      </c>
      <c r="G11">
        <v>5.0150000000000004E-3</v>
      </c>
      <c r="H11" t="s">
        <v>22</v>
      </c>
      <c r="J11">
        <f t="shared" si="0"/>
        <v>5.1000000000000004E-3</v>
      </c>
    </row>
    <row r="12" spans="1:10" x14ac:dyDescent="0.3">
      <c r="A12">
        <v>16</v>
      </c>
      <c r="B12">
        <v>1.3571029999999999</v>
      </c>
      <c r="C12" t="s">
        <v>8</v>
      </c>
      <c r="D12" t="s">
        <v>12</v>
      </c>
      <c r="E12" t="s">
        <v>10</v>
      </c>
      <c r="F12">
        <v>54</v>
      </c>
      <c r="G12">
        <v>5.4217000000000001E-2</v>
      </c>
      <c r="H12" t="s">
        <v>23</v>
      </c>
      <c r="J12">
        <f t="shared" si="0"/>
        <v>5.4300000000000001E-2</v>
      </c>
    </row>
    <row r="13" spans="1:10" x14ac:dyDescent="0.3">
      <c r="A13">
        <v>18</v>
      </c>
      <c r="B13">
        <v>2.8942459999999999</v>
      </c>
      <c r="C13" t="s">
        <v>8</v>
      </c>
      <c r="D13" t="s">
        <v>12</v>
      </c>
      <c r="E13" t="s">
        <v>16</v>
      </c>
      <c r="F13">
        <v>71</v>
      </c>
      <c r="G13">
        <v>1.5371429999999999</v>
      </c>
      <c r="H13" t="s">
        <v>24</v>
      </c>
      <c r="J13">
        <f t="shared" si="0"/>
        <v>1.5371999999999999</v>
      </c>
    </row>
    <row r="14" spans="1:10" x14ac:dyDescent="0.3">
      <c r="A14">
        <v>19</v>
      </c>
      <c r="B14">
        <v>2.901211</v>
      </c>
      <c r="C14" t="s">
        <v>12</v>
      </c>
      <c r="D14" t="s">
        <v>8</v>
      </c>
      <c r="E14" t="s">
        <v>16</v>
      </c>
      <c r="F14">
        <v>71</v>
      </c>
      <c r="G14">
        <v>6.9649999999999998E-3</v>
      </c>
      <c r="H14" t="s">
        <v>24</v>
      </c>
      <c r="J14">
        <f t="shared" si="0"/>
        <v>7.0000000000000001E-3</v>
      </c>
    </row>
    <row r="15" spans="1:10" x14ac:dyDescent="0.3">
      <c r="A15">
        <v>20</v>
      </c>
      <c r="B15">
        <v>2.9480200000000001</v>
      </c>
      <c r="C15" t="s">
        <v>8</v>
      </c>
      <c r="D15" t="s">
        <v>12</v>
      </c>
      <c r="E15" t="s">
        <v>10</v>
      </c>
      <c r="F15">
        <v>54</v>
      </c>
      <c r="G15">
        <v>4.6809000000000003E-2</v>
      </c>
      <c r="H15" t="s">
        <v>25</v>
      </c>
      <c r="J15">
        <f t="shared" si="0"/>
        <v>4.6900000000000004E-2</v>
      </c>
    </row>
    <row r="16" spans="1:10" x14ac:dyDescent="0.3">
      <c r="A16">
        <v>21</v>
      </c>
      <c r="B16">
        <v>2.9942380000000002</v>
      </c>
      <c r="C16" t="s">
        <v>8</v>
      </c>
      <c r="D16" t="s">
        <v>26</v>
      </c>
      <c r="E16" t="s">
        <v>10</v>
      </c>
      <c r="F16">
        <v>66</v>
      </c>
      <c r="G16">
        <v>4.6218000000000002E-2</v>
      </c>
      <c r="H16" t="s">
        <v>27</v>
      </c>
      <c r="J16">
        <f t="shared" si="0"/>
        <v>4.6300000000000001E-2</v>
      </c>
    </row>
    <row r="17" spans="1:10" x14ac:dyDescent="0.3">
      <c r="A17">
        <v>22</v>
      </c>
      <c r="B17">
        <v>2.9942380000000002</v>
      </c>
      <c r="C17" t="s">
        <v>8</v>
      </c>
      <c r="D17" t="s">
        <v>28</v>
      </c>
      <c r="E17" t="s">
        <v>10</v>
      </c>
      <c r="F17">
        <v>66</v>
      </c>
      <c r="G17">
        <v>0</v>
      </c>
      <c r="H17" t="s">
        <v>29</v>
      </c>
      <c r="J17">
        <f t="shared" si="0"/>
        <v>0</v>
      </c>
    </row>
    <row r="18" spans="1:10" x14ac:dyDescent="0.3">
      <c r="A18">
        <v>23</v>
      </c>
      <c r="B18">
        <v>3.6246659999999999</v>
      </c>
      <c r="C18" t="s">
        <v>12</v>
      </c>
      <c r="D18" t="s">
        <v>8</v>
      </c>
      <c r="E18" t="s">
        <v>16</v>
      </c>
      <c r="F18">
        <v>71</v>
      </c>
      <c r="G18">
        <v>0.63042799999999999</v>
      </c>
      <c r="H18" t="s">
        <v>24</v>
      </c>
      <c r="J18">
        <f t="shared" si="0"/>
        <v>0.63049999999999995</v>
      </c>
    </row>
    <row r="19" spans="1:10" x14ac:dyDescent="0.3">
      <c r="A19">
        <v>24</v>
      </c>
      <c r="B19">
        <v>3.6794989999999999</v>
      </c>
      <c r="C19" t="s">
        <v>8</v>
      </c>
      <c r="D19" t="s">
        <v>12</v>
      </c>
      <c r="E19" t="s">
        <v>10</v>
      </c>
      <c r="F19">
        <v>54</v>
      </c>
      <c r="G19">
        <v>5.4833E-2</v>
      </c>
      <c r="H19" t="s">
        <v>30</v>
      </c>
      <c r="J19">
        <f t="shared" si="0"/>
        <v>5.4900000000000004E-2</v>
      </c>
    </row>
    <row r="20" spans="1:10" x14ac:dyDescent="0.3">
      <c r="A20">
        <v>25</v>
      </c>
      <c r="B20">
        <v>4.0036639999999997</v>
      </c>
      <c r="C20" t="s">
        <v>8</v>
      </c>
      <c r="D20" t="s">
        <v>9</v>
      </c>
      <c r="E20" t="s">
        <v>10</v>
      </c>
      <c r="F20">
        <v>66</v>
      </c>
      <c r="G20">
        <v>0.32416499999999998</v>
      </c>
      <c r="H20" t="s">
        <v>31</v>
      </c>
      <c r="J20">
        <f t="shared" si="0"/>
        <v>0.32419999999999999</v>
      </c>
    </row>
    <row r="21" spans="1:10" x14ac:dyDescent="0.3">
      <c r="A21">
        <v>26</v>
      </c>
      <c r="B21">
        <v>4.1837770000000001</v>
      </c>
      <c r="C21" t="s">
        <v>8</v>
      </c>
      <c r="D21" t="s">
        <v>12</v>
      </c>
      <c r="E21" t="s">
        <v>16</v>
      </c>
      <c r="F21">
        <v>71</v>
      </c>
      <c r="G21">
        <v>0.180113</v>
      </c>
      <c r="H21" t="s">
        <v>24</v>
      </c>
      <c r="J21">
        <f t="shared" si="0"/>
        <v>0.1802</v>
      </c>
    </row>
    <row r="22" spans="1:10" x14ac:dyDescent="0.3">
      <c r="A22">
        <v>27</v>
      </c>
      <c r="B22">
        <v>4.1895530000000001</v>
      </c>
      <c r="C22" t="s">
        <v>12</v>
      </c>
      <c r="D22" t="s">
        <v>8</v>
      </c>
      <c r="E22" t="s">
        <v>16</v>
      </c>
      <c r="F22">
        <v>71</v>
      </c>
      <c r="G22">
        <v>5.7759999999999999E-3</v>
      </c>
      <c r="H22" t="s">
        <v>24</v>
      </c>
      <c r="J22">
        <f t="shared" si="0"/>
        <v>5.8000000000000005E-3</v>
      </c>
    </row>
    <row r="23" spans="1:10" x14ac:dyDescent="0.3">
      <c r="A23">
        <v>28</v>
      </c>
      <c r="B23">
        <v>4.239077</v>
      </c>
      <c r="C23" t="s">
        <v>8</v>
      </c>
      <c r="D23" t="s">
        <v>12</v>
      </c>
      <c r="E23" t="s">
        <v>10</v>
      </c>
      <c r="F23">
        <v>54</v>
      </c>
      <c r="G23">
        <v>4.9523999999999999E-2</v>
      </c>
      <c r="H23" t="s">
        <v>32</v>
      </c>
      <c r="J23">
        <f t="shared" si="0"/>
        <v>4.9600000000000005E-2</v>
      </c>
    </row>
    <row r="24" spans="1:10" x14ac:dyDescent="0.3">
      <c r="A24">
        <v>30</v>
      </c>
      <c r="B24">
        <v>4.7659130000000003</v>
      </c>
      <c r="C24" t="s">
        <v>12</v>
      </c>
      <c r="D24" t="s">
        <v>8</v>
      </c>
      <c r="E24" t="s">
        <v>16</v>
      </c>
      <c r="F24">
        <v>71</v>
      </c>
      <c r="G24">
        <v>0.52683599999999997</v>
      </c>
      <c r="H24" t="s">
        <v>24</v>
      </c>
      <c r="J24">
        <f t="shared" si="0"/>
        <v>0.52690000000000003</v>
      </c>
    </row>
    <row r="25" spans="1:10" x14ac:dyDescent="0.3">
      <c r="A25">
        <v>31</v>
      </c>
      <c r="B25">
        <v>4.8153499999999996</v>
      </c>
      <c r="C25" t="s">
        <v>8</v>
      </c>
      <c r="D25" t="s">
        <v>12</v>
      </c>
      <c r="E25" t="s">
        <v>10</v>
      </c>
      <c r="F25">
        <v>54</v>
      </c>
      <c r="G25">
        <v>4.9437000000000002E-2</v>
      </c>
      <c r="H25" t="s">
        <v>33</v>
      </c>
      <c r="J25">
        <f t="shared" si="0"/>
        <v>4.9500000000000002E-2</v>
      </c>
    </row>
    <row r="26" spans="1:10" x14ac:dyDescent="0.3">
      <c r="A26">
        <v>32</v>
      </c>
      <c r="B26">
        <v>5.3181079999999996</v>
      </c>
      <c r="C26" t="s">
        <v>8</v>
      </c>
      <c r="D26" t="s">
        <v>12</v>
      </c>
      <c r="E26" t="s">
        <v>16</v>
      </c>
      <c r="F26">
        <v>71</v>
      </c>
      <c r="G26">
        <v>0.50275800000000004</v>
      </c>
      <c r="H26" t="s">
        <v>24</v>
      </c>
      <c r="J26">
        <f t="shared" si="0"/>
        <v>0.50280000000000002</v>
      </c>
    </row>
    <row r="27" spans="1:10" x14ac:dyDescent="0.3">
      <c r="A27">
        <v>33</v>
      </c>
      <c r="B27">
        <v>5.3234430000000001</v>
      </c>
      <c r="C27" t="s">
        <v>12</v>
      </c>
      <c r="D27" t="s">
        <v>8</v>
      </c>
      <c r="E27" t="s">
        <v>16</v>
      </c>
      <c r="F27">
        <v>71</v>
      </c>
      <c r="G27">
        <v>5.3350000000000003E-3</v>
      </c>
      <c r="H27" t="s">
        <v>24</v>
      </c>
      <c r="J27">
        <f t="shared" si="0"/>
        <v>5.4000000000000003E-3</v>
      </c>
    </row>
    <row r="28" spans="1:10" x14ac:dyDescent="0.3">
      <c r="A28">
        <v>34</v>
      </c>
      <c r="B28">
        <v>5.376881</v>
      </c>
      <c r="C28" t="s">
        <v>8</v>
      </c>
      <c r="D28" t="s">
        <v>12</v>
      </c>
      <c r="E28" t="s">
        <v>10</v>
      </c>
      <c r="F28">
        <v>54</v>
      </c>
      <c r="G28">
        <v>5.3437999999999999E-2</v>
      </c>
      <c r="H28" t="s">
        <v>34</v>
      </c>
      <c r="J28">
        <f t="shared" si="0"/>
        <v>5.3500000000000006E-2</v>
      </c>
    </row>
    <row r="29" spans="1:10" x14ac:dyDescent="0.3">
      <c r="A29">
        <v>35</v>
      </c>
      <c r="B29">
        <v>5.8152840000000001</v>
      </c>
      <c r="C29" t="s">
        <v>12</v>
      </c>
      <c r="D29" t="s">
        <v>8</v>
      </c>
      <c r="E29" t="s">
        <v>16</v>
      </c>
      <c r="F29">
        <v>71</v>
      </c>
      <c r="G29">
        <v>0.43840299999999999</v>
      </c>
      <c r="H29" t="s">
        <v>24</v>
      </c>
      <c r="J29">
        <f t="shared" si="0"/>
        <v>0.4385</v>
      </c>
    </row>
    <row r="30" spans="1:10" x14ac:dyDescent="0.3">
      <c r="A30">
        <v>36</v>
      </c>
      <c r="B30">
        <v>5.8610639999999998</v>
      </c>
      <c r="C30" t="s">
        <v>8</v>
      </c>
      <c r="D30" t="s">
        <v>12</v>
      </c>
      <c r="E30" t="s">
        <v>10</v>
      </c>
      <c r="F30">
        <v>54</v>
      </c>
      <c r="G30">
        <v>4.5780000000000001E-2</v>
      </c>
      <c r="H30" t="s">
        <v>35</v>
      </c>
      <c r="J30">
        <f t="shared" si="0"/>
        <v>4.58E-2</v>
      </c>
    </row>
    <row r="31" spans="1:10" x14ac:dyDescent="0.3">
      <c r="A31">
        <v>37</v>
      </c>
      <c r="B31">
        <v>6.3085459999999998</v>
      </c>
      <c r="C31" t="s">
        <v>8</v>
      </c>
      <c r="D31" t="s">
        <v>12</v>
      </c>
      <c r="E31" t="s">
        <v>16</v>
      </c>
      <c r="F31">
        <v>71</v>
      </c>
      <c r="G31">
        <v>0.44748199999999999</v>
      </c>
      <c r="H31" t="s">
        <v>24</v>
      </c>
      <c r="J31">
        <f t="shared" si="0"/>
        <v>0.44750000000000001</v>
      </c>
    </row>
    <row r="32" spans="1:10" x14ac:dyDescent="0.3">
      <c r="A32">
        <v>38</v>
      </c>
      <c r="B32">
        <v>6.3136029999999996</v>
      </c>
      <c r="C32" t="s">
        <v>12</v>
      </c>
      <c r="D32" t="s">
        <v>8</v>
      </c>
      <c r="E32" t="s">
        <v>16</v>
      </c>
      <c r="F32">
        <v>71</v>
      </c>
      <c r="G32">
        <v>5.0569999999999999E-3</v>
      </c>
      <c r="H32" t="s">
        <v>24</v>
      </c>
      <c r="J32">
        <f t="shared" si="0"/>
        <v>5.1000000000000004E-3</v>
      </c>
    </row>
    <row r="33" spans="1:10" x14ac:dyDescent="0.3">
      <c r="A33">
        <v>39</v>
      </c>
      <c r="B33">
        <v>6.3588290000000001</v>
      </c>
      <c r="C33" t="s">
        <v>8</v>
      </c>
      <c r="D33" t="s">
        <v>12</v>
      </c>
      <c r="E33" t="s">
        <v>10</v>
      </c>
      <c r="F33">
        <v>54</v>
      </c>
      <c r="G33">
        <v>4.5226000000000002E-2</v>
      </c>
      <c r="H33" t="s">
        <v>36</v>
      </c>
      <c r="J33">
        <f t="shared" si="0"/>
        <v>4.53E-2</v>
      </c>
    </row>
    <row r="34" spans="1:10" x14ac:dyDescent="0.3">
      <c r="A34">
        <v>41</v>
      </c>
      <c r="B34">
        <v>6.8331879999999998</v>
      </c>
      <c r="C34" t="s">
        <v>12</v>
      </c>
      <c r="D34" t="s">
        <v>8</v>
      </c>
      <c r="E34" t="s">
        <v>16</v>
      </c>
      <c r="F34">
        <v>71</v>
      </c>
      <c r="G34">
        <v>0.47435899999999998</v>
      </c>
      <c r="H34" t="s">
        <v>24</v>
      </c>
      <c r="J34">
        <f t="shared" si="0"/>
        <v>0.47439999999999999</v>
      </c>
    </row>
    <row r="35" spans="1:10" x14ac:dyDescent="0.3">
      <c r="A35">
        <v>42</v>
      </c>
      <c r="B35">
        <v>6.8733969999999998</v>
      </c>
      <c r="C35" t="s">
        <v>8</v>
      </c>
      <c r="D35" t="s">
        <v>12</v>
      </c>
      <c r="E35" t="s">
        <v>10</v>
      </c>
      <c r="F35">
        <v>54</v>
      </c>
      <c r="G35">
        <v>4.0209000000000002E-2</v>
      </c>
      <c r="H35" t="s">
        <v>37</v>
      </c>
      <c r="J35">
        <f t="shared" si="0"/>
        <v>4.0300000000000002E-2</v>
      </c>
    </row>
    <row r="36" spans="1:10" x14ac:dyDescent="0.3">
      <c r="A36">
        <v>43</v>
      </c>
      <c r="B36">
        <v>7.2823149999999996</v>
      </c>
      <c r="C36" t="s">
        <v>8</v>
      </c>
      <c r="D36" t="s">
        <v>12</v>
      </c>
      <c r="E36" t="s">
        <v>16</v>
      </c>
      <c r="F36">
        <v>71</v>
      </c>
      <c r="G36">
        <v>0.408918</v>
      </c>
      <c r="H36" t="s">
        <v>24</v>
      </c>
      <c r="J36">
        <f t="shared" si="0"/>
        <v>0.40899999999999997</v>
      </c>
    </row>
    <row r="37" spans="1:10" x14ac:dyDescent="0.3">
      <c r="A37">
        <v>44</v>
      </c>
      <c r="B37">
        <v>7.2883209999999998</v>
      </c>
      <c r="C37" t="s">
        <v>12</v>
      </c>
      <c r="D37" t="s">
        <v>8</v>
      </c>
      <c r="E37" t="s">
        <v>16</v>
      </c>
      <c r="F37">
        <v>71</v>
      </c>
      <c r="G37">
        <v>6.0060000000000001E-3</v>
      </c>
      <c r="H37" t="s">
        <v>24</v>
      </c>
      <c r="J37">
        <f t="shared" si="0"/>
        <v>6.1000000000000004E-3</v>
      </c>
    </row>
    <row r="38" spans="1:10" x14ac:dyDescent="0.3">
      <c r="A38">
        <v>45</v>
      </c>
      <c r="B38">
        <v>7.3378769999999998</v>
      </c>
      <c r="C38" t="s">
        <v>8</v>
      </c>
      <c r="D38" t="s">
        <v>12</v>
      </c>
      <c r="E38" t="s">
        <v>10</v>
      </c>
      <c r="F38">
        <v>54</v>
      </c>
      <c r="G38">
        <v>4.9556000000000003E-2</v>
      </c>
      <c r="H38" t="s">
        <v>38</v>
      </c>
      <c r="J38">
        <f t="shared" si="0"/>
        <v>4.9600000000000005E-2</v>
      </c>
    </row>
    <row r="39" spans="1:10" x14ac:dyDescent="0.3">
      <c r="A39">
        <v>46</v>
      </c>
      <c r="B39">
        <v>7.7965390000000001</v>
      </c>
      <c r="C39" t="s">
        <v>12</v>
      </c>
      <c r="D39" t="s">
        <v>8</v>
      </c>
      <c r="E39" t="s">
        <v>16</v>
      </c>
      <c r="F39">
        <v>71</v>
      </c>
      <c r="G39">
        <v>0.45866200000000001</v>
      </c>
      <c r="H39" t="s">
        <v>24</v>
      </c>
      <c r="J39">
        <f t="shared" si="0"/>
        <v>0.4587</v>
      </c>
    </row>
    <row r="40" spans="1:10" x14ac:dyDescent="0.3">
      <c r="A40">
        <v>47</v>
      </c>
      <c r="B40">
        <v>7.8362869999999996</v>
      </c>
      <c r="C40" t="s">
        <v>8</v>
      </c>
      <c r="D40" t="s">
        <v>12</v>
      </c>
      <c r="E40" t="s">
        <v>10</v>
      </c>
      <c r="F40">
        <v>54</v>
      </c>
      <c r="G40">
        <v>3.9747999999999999E-2</v>
      </c>
      <c r="H40" t="s">
        <v>39</v>
      </c>
      <c r="J40">
        <f t="shared" si="0"/>
        <v>3.9800000000000002E-2</v>
      </c>
    </row>
    <row r="41" spans="1:10" x14ac:dyDescent="0.3">
      <c r="A41">
        <v>48</v>
      </c>
      <c r="B41">
        <v>8.2645510000000009</v>
      </c>
      <c r="C41" t="s">
        <v>8</v>
      </c>
      <c r="D41" t="s">
        <v>12</v>
      </c>
      <c r="E41" t="s">
        <v>16</v>
      </c>
      <c r="F41">
        <v>71</v>
      </c>
      <c r="G41">
        <v>0.42826399999999998</v>
      </c>
      <c r="H41" t="s">
        <v>24</v>
      </c>
      <c r="J41">
        <f t="shared" si="0"/>
        <v>0.42830000000000001</v>
      </c>
    </row>
    <row r="42" spans="1:10" x14ac:dyDescent="0.3">
      <c r="A42">
        <v>49</v>
      </c>
      <c r="B42">
        <v>8.2696290000000001</v>
      </c>
      <c r="C42" t="s">
        <v>12</v>
      </c>
      <c r="D42" t="s">
        <v>8</v>
      </c>
      <c r="E42" t="s">
        <v>16</v>
      </c>
      <c r="F42">
        <v>71</v>
      </c>
      <c r="G42">
        <v>5.078E-3</v>
      </c>
      <c r="H42" t="s">
        <v>24</v>
      </c>
      <c r="J42">
        <f t="shared" si="0"/>
        <v>5.1000000000000004E-3</v>
      </c>
    </row>
    <row r="43" spans="1:10" x14ac:dyDescent="0.3">
      <c r="A43">
        <v>50</v>
      </c>
      <c r="B43">
        <v>8.3195060000000005</v>
      </c>
      <c r="C43" t="s">
        <v>8</v>
      </c>
      <c r="D43" t="s">
        <v>12</v>
      </c>
      <c r="E43" t="s">
        <v>10</v>
      </c>
      <c r="F43">
        <v>54</v>
      </c>
      <c r="G43">
        <v>4.9876999999999998E-2</v>
      </c>
      <c r="H43" t="s">
        <v>40</v>
      </c>
      <c r="J43">
        <f t="shared" si="0"/>
        <v>4.99E-2</v>
      </c>
    </row>
    <row r="44" spans="1:10" x14ac:dyDescent="0.3">
      <c r="A44">
        <v>52</v>
      </c>
      <c r="B44">
        <v>8.7274360000000009</v>
      </c>
      <c r="C44" t="s">
        <v>8</v>
      </c>
      <c r="D44" t="s">
        <v>41</v>
      </c>
      <c r="E44" t="s">
        <v>10</v>
      </c>
      <c r="F44">
        <v>66</v>
      </c>
      <c r="G44">
        <v>0.40793000000000001</v>
      </c>
      <c r="H44" t="s">
        <v>42</v>
      </c>
      <c r="J44">
        <f t="shared" si="0"/>
        <v>0.40799999999999997</v>
      </c>
    </row>
    <row r="45" spans="1:10" x14ac:dyDescent="0.3">
      <c r="A45">
        <v>53</v>
      </c>
      <c r="B45">
        <v>8.8011870000000005</v>
      </c>
      <c r="C45" t="s">
        <v>12</v>
      </c>
      <c r="D45" t="s">
        <v>8</v>
      </c>
      <c r="E45" t="s">
        <v>16</v>
      </c>
      <c r="F45">
        <v>71</v>
      </c>
      <c r="G45">
        <v>7.3750999999999997E-2</v>
      </c>
      <c r="H45" t="s">
        <v>24</v>
      </c>
      <c r="J45">
        <f t="shared" si="0"/>
        <v>7.3800000000000004E-2</v>
      </c>
    </row>
    <row r="46" spans="1:10" x14ac:dyDescent="0.3">
      <c r="A46">
        <v>54</v>
      </c>
      <c r="B46">
        <v>8.847861</v>
      </c>
      <c r="C46" t="s">
        <v>8</v>
      </c>
      <c r="D46" t="s">
        <v>12</v>
      </c>
      <c r="E46" t="s">
        <v>10</v>
      </c>
      <c r="F46">
        <v>54</v>
      </c>
      <c r="G46">
        <v>4.6674E-2</v>
      </c>
      <c r="H46" t="s">
        <v>43</v>
      </c>
      <c r="J46">
        <f t="shared" si="0"/>
        <v>4.6700000000000005E-2</v>
      </c>
    </row>
    <row r="47" spans="1:10" x14ac:dyDescent="0.3">
      <c r="A47">
        <v>55</v>
      </c>
      <c r="B47">
        <v>8.8620009999999994</v>
      </c>
      <c r="C47" t="s">
        <v>41</v>
      </c>
      <c r="D47" t="s">
        <v>8</v>
      </c>
      <c r="E47" t="s">
        <v>10</v>
      </c>
      <c r="F47">
        <v>60</v>
      </c>
      <c r="G47">
        <v>1.414E-2</v>
      </c>
      <c r="H47" t="s">
        <v>44</v>
      </c>
      <c r="J47">
        <f t="shared" si="0"/>
        <v>1.4199999999999999E-2</v>
      </c>
    </row>
    <row r="48" spans="1:10" x14ac:dyDescent="0.3">
      <c r="A48">
        <v>56</v>
      </c>
      <c r="B48">
        <v>9.2257339999999992</v>
      </c>
      <c r="C48" t="s">
        <v>8</v>
      </c>
      <c r="D48" t="s">
        <v>12</v>
      </c>
      <c r="E48" t="s">
        <v>16</v>
      </c>
      <c r="F48">
        <v>71</v>
      </c>
      <c r="G48">
        <v>0.36373299999999997</v>
      </c>
      <c r="H48" t="s">
        <v>24</v>
      </c>
      <c r="J48">
        <f t="shared" si="0"/>
        <v>0.36380000000000001</v>
      </c>
    </row>
    <row r="49" spans="1:10" x14ac:dyDescent="0.3">
      <c r="A49">
        <v>57</v>
      </c>
      <c r="B49">
        <v>9.2308559999999993</v>
      </c>
      <c r="C49" t="s">
        <v>12</v>
      </c>
      <c r="D49" t="s">
        <v>8</v>
      </c>
      <c r="E49" t="s">
        <v>16</v>
      </c>
      <c r="F49">
        <v>71</v>
      </c>
      <c r="G49">
        <v>5.1219999999999998E-3</v>
      </c>
      <c r="H49" t="s">
        <v>24</v>
      </c>
      <c r="J49">
        <f t="shared" si="0"/>
        <v>5.2000000000000006E-3</v>
      </c>
    </row>
    <row r="50" spans="1:10" x14ac:dyDescent="0.3">
      <c r="A50">
        <v>58</v>
      </c>
      <c r="B50">
        <v>9.2820820000000008</v>
      </c>
      <c r="C50" t="s">
        <v>8</v>
      </c>
      <c r="D50" t="s">
        <v>12</v>
      </c>
      <c r="E50" t="s">
        <v>10</v>
      </c>
      <c r="F50">
        <v>54</v>
      </c>
      <c r="G50">
        <v>5.1226000000000001E-2</v>
      </c>
      <c r="H50" t="s">
        <v>45</v>
      </c>
      <c r="J50">
        <f t="shared" si="0"/>
        <v>5.1300000000000005E-2</v>
      </c>
    </row>
    <row r="51" spans="1:10" x14ac:dyDescent="0.3">
      <c r="A51">
        <v>59</v>
      </c>
      <c r="B51">
        <v>9.3749199999999995</v>
      </c>
      <c r="C51" t="s">
        <v>8</v>
      </c>
      <c r="D51" t="s">
        <v>41</v>
      </c>
      <c r="E51" t="s">
        <v>10</v>
      </c>
      <c r="F51">
        <v>66</v>
      </c>
      <c r="G51">
        <v>9.2838000000000004E-2</v>
      </c>
      <c r="H51" t="s">
        <v>46</v>
      </c>
      <c r="J51">
        <f t="shared" si="0"/>
        <v>9.2899999999999996E-2</v>
      </c>
    </row>
    <row r="52" spans="1:10" x14ac:dyDescent="0.3">
      <c r="A52">
        <v>60</v>
      </c>
      <c r="B52">
        <v>9.3871280000000006</v>
      </c>
      <c r="C52" t="s">
        <v>41</v>
      </c>
      <c r="D52" t="s">
        <v>8</v>
      </c>
      <c r="E52" t="s">
        <v>10</v>
      </c>
      <c r="F52">
        <v>60</v>
      </c>
      <c r="G52">
        <v>1.2208E-2</v>
      </c>
      <c r="H52" t="s">
        <v>44</v>
      </c>
      <c r="J52">
        <f t="shared" si="0"/>
        <v>1.23E-2</v>
      </c>
    </row>
    <row r="53" spans="1:10" x14ac:dyDescent="0.3">
      <c r="A53">
        <v>81</v>
      </c>
      <c r="B53">
        <v>9.7348630000000007</v>
      </c>
      <c r="C53" t="s">
        <v>12</v>
      </c>
      <c r="D53" t="s">
        <v>8</v>
      </c>
      <c r="E53" t="s">
        <v>16</v>
      </c>
      <c r="F53">
        <v>71</v>
      </c>
      <c r="G53">
        <v>0.34773500000000002</v>
      </c>
      <c r="H53" t="s">
        <v>24</v>
      </c>
      <c r="J53">
        <f t="shared" si="0"/>
        <v>0.3478</v>
      </c>
    </row>
    <row r="54" spans="1:10" x14ac:dyDescent="0.3">
      <c r="A54">
        <v>84</v>
      </c>
      <c r="B54">
        <v>9.7829940000000004</v>
      </c>
      <c r="C54" t="s">
        <v>8</v>
      </c>
      <c r="D54" t="s">
        <v>12</v>
      </c>
      <c r="E54" t="s">
        <v>10</v>
      </c>
      <c r="F54">
        <v>54</v>
      </c>
      <c r="G54">
        <v>4.8131E-2</v>
      </c>
      <c r="H54" t="s">
        <v>47</v>
      </c>
      <c r="J54">
        <f t="shared" si="0"/>
        <v>4.82E-2</v>
      </c>
    </row>
    <row r="55" spans="1:10" x14ac:dyDescent="0.3">
      <c r="A55">
        <v>85</v>
      </c>
      <c r="B55">
        <v>9.8905659999999997</v>
      </c>
      <c r="C55" t="s">
        <v>8</v>
      </c>
      <c r="D55" t="s">
        <v>41</v>
      </c>
      <c r="E55" t="s">
        <v>10</v>
      </c>
      <c r="F55">
        <v>66</v>
      </c>
      <c r="G55">
        <v>0.107572</v>
      </c>
      <c r="H55" t="s">
        <v>46</v>
      </c>
      <c r="J55">
        <f t="shared" si="0"/>
        <v>0.1076</v>
      </c>
    </row>
    <row r="56" spans="1:10" x14ac:dyDescent="0.3">
      <c r="A56">
        <v>86</v>
      </c>
      <c r="B56">
        <v>9.9285169999999994</v>
      </c>
      <c r="C56" t="s">
        <v>41</v>
      </c>
      <c r="D56" t="s">
        <v>8</v>
      </c>
      <c r="E56" t="s">
        <v>10</v>
      </c>
      <c r="F56">
        <v>60</v>
      </c>
      <c r="G56">
        <v>3.7950999999999999E-2</v>
      </c>
      <c r="H56" t="s">
        <v>44</v>
      </c>
      <c r="J56">
        <f t="shared" si="0"/>
        <v>3.8000000000000006E-2</v>
      </c>
    </row>
    <row r="57" spans="1:10" x14ac:dyDescent="0.3">
      <c r="A57">
        <v>87</v>
      </c>
      <c r="B57">
        <v>10.190678</v>
      </c>
      <c r="C57" t="s">
        <v>8</v>
      </c>
      <c r="D57" t="s">
        <v>12</v>
      </c>
      <c r="E57" t="s">
        <v>16</v>
      </c>
      <c r="F57">
        <v>71</v>
      </c>
      <c r="G57">
        <v>0.26216099999999998</v>
      </c>
      <c r="H57" t="s">
        <v>24</v>
      </c>
      <c r="J57">
        <f t="shared" si="0"/>
        <v>0.26219999999999999</v>
      </c>
    </row>
    <row r="58" spans="1:10" x14ac:dyDescent="0.3">
      <c r="A58">
        <v>88</v>
      </c>
      <c r="B58">
        <v>10.195971</v>
      </c>
      <c r="C58" t="s">
        <v>12</v>
      </c>
      <c r="D58" t="s">
        <v>8</v>
      </c>
      <c r="E58" t="s">
        <v>16</v>
      </c>
      <c r="F58">
        <v>71</v>
      </c>
      <c r="G58">
        <v>5.293E-3</v>
      </c>
      <c r="H58" t="s">
        <v>24</v>
      </c>
      <c r="J58">
        <f t="shared" si="0"/>
        <v>5.3E-3</v>
      </c>
    </row>
    <row r="59" spans="1:10" x14ac:dyDescent="0.3">
      <c r="A59">
        <v>89</v>
      </c>
      <c r="B59">
        <v>10.246544</v>
      </c>
      <c r="C59" t="s">
        <v>8</v>
      </c>
      <c r="D59" t="s">
        <v>12</v>
      </c>
      <c r="E59" t="s">
        <v>10</v>
      </c>
      <c r="F59">
        <v>54</v>
      </c>
      <c r="G59">
        <v>5.0573E-2</v>
      </c>
      <c r="H59" t="s">
        <v>48</v>
      </c>
      <c r="J59">
        <f t="shared" si="0"/>
        <v>5.0600000000000006E-2</v>
      </c>
    </row>
    <row r="60" spans="1:10" x14ac:dyDescent="0.3">
      <c r="A60">
        <v>91</v>
      </c>
      <c r="B60">
        <v>10.432679</v>
      </c>
      <c r="C60" t="s">
        <v>8</v>
      </c>
      <c r="D60" t="s">
        <v>41</v>
      </c>
      <c r="E60" t="s">
        <v>10</v>
      </c>
      <c r="F60">
        <v>66</v>
      </c>
      <c r="G60">
        <v>0.18613499999999999</v>
      </c>
      <c r="H60" t="s">
        <v>46</v>
      </c>
      <c r="J60">
        <f t="shared" si="0"/>
        <v>0.18619999999999998</v>
      </c>
    </row>
    <row r="61" spans="1:10" x14ac:dyDescent="0.3">
      <c r="A61">
        <v>92</v>
      </c>
      <c r="B61">
        <v>10.542923999999999</v>
      </c>
      <c r="C61" t="s">
        <v>41</v>
      </c>
      <c r="D61" t="s">
        <v>8</v>
      </c>
      <c r="E61" t="s">
        <v>10</v>
      </c>
      <c r="F61">
        <v>60</v>
      </c>
      <c r="G61">
        <v>0.110245</v>
      </c>
      <c r="H61" t="s">
        <v>44</v>
      </c>
      <c r="J61">
        <f t="shared" si="0"/>
        <v>0.11030000000000001</v>
      </c>
    </row>
    <row r="62" spans="1:10" x14ac:dyDescent="0.3">
      <c r="A62">
        <v>93</v>
      </c>
      <c r="B62">
        <v>10.634218000000001</v>
      </c>
      <c r="C62" t="s">
        <v>12</v>
      </c>
      <c r="D62" t="s">
        <v>8</v>
      </c>
      <c r="E62" t="s">
        <v>16</v>
      </c>
      <c r="F62">
        <v>71</v>
      </c>
      <c r="G62">
        <v>9.1294E-2</v>
      </c>
      <c r="H62" t="s">
        <v>24</v>
      </c>
      <c r="J62">
        <f t="shared" si="0"/>
        <v>9.1300000000000006E-2</v>
      </c>
    </row>
    <row r="63" spans="1:10" x14ac:dyDescent="0.3">
      <c r="A63">
        <v>94</v>
      </c>
      <c r="B63">
        <v>10.680838</v>
      </c>
      <c r="C63" t="s">
        <v>8</v>
      </c>
      <c r="D63" t="s">
        <v>12</v>
      </c>
      <c r="E63" t="s">
        <v>10</v>
      </c>
      <c r="F63">
        <v>54</v>
      </c>
      <c r="G63">
        <v>4.6620000000000002E-2</v>
      </c>
      <c r="H63" t="s">
        <v>49</v>
      </c>
      <c r="J63">
        <f t="shared" si="0"/>
        <v>4.6700000000000005E-2</v>
      </c>
    </row>
    <row r="64" spans="1:10" x14ac:dyDescent="0.3">
      <c r="A64">
        <v>95</v>
      </c>
      <c r="B64">
        <v>11.007076</v>
      </c>
      <c r="C64" t="s">
        <v>8</v>
      </c>
      <c r="D64" t="s">
        <v>26</v>
      </c>
      <c r="E64" t="s">
        <v>10</v>
      </c>
      <c r="F64">
        <v>66</v>
      </c>
      <c r="G64">
        <v>0.32623799999999997</v>
      </c>
      <c r="H64" t="s">
        <v>50</v>
      </c>
      <c r="J64">
        <f t="shared" si="0"/>
        <v>0.32629999999999998</v>
      </c>
    </row>
    <row r="65" spans="1:10" x14ac:dyDescent="0.3">
      <c r="A65">
        <v>96</v>
      </c>
      <c r="B65">
        <v>11.007076</v>
      </c>
      <c r="C65" t="s">
        <v>8</v>
      </c>
      <c r="D65" t="s">
        <v>28</v>
      </c>
      <c r="E65" t="s">
        <v>10</v>
      </c>
      <c r="F65">
        <v>66</v>
      </c>
      <c r="G65">
        <v>0</v>
      </c>
      <c r="H65" t="s">
        <v>51</v>
      </c>
      <c r="J65">
        <f t="shared" si="0"/>
        <v>0</v>
      </c>
    </row>
    <row r="66" spans="1:10" x14ac:dyDescent="0.3">
      <c r="A66">
        <v>97</v>
      </c>
      <c r="B66">
        <v>11.052552</v>
      </c>
      <c r="C66" t="s">
        <v>8</v>
      </c>
      <c r="D66" t="s">
        <v>41</v>
      </c>
      <c r="E66" t="s">
        <v>10</v>
      </c>
      <c r="F66">
        <v>66</v>
      </c>
      <c r="G66">
        <v>4.5476000000000003E-2</v>
      </c>
      <c r="H66" t="s">
        <v>46</v>
      </c>
      <c r="J66">
        <f t="shared" si="0"/>
        <v>4.5500000000000006E-2</v>
      </c>
    </row>
    <row r="67" spans="1:10" x14ac:dyDescent="0.3">
      <c r="A67">
        <v>98</v>
      </c>
      <c r="B67">
        <v>11.073676000000001</v>
      </c>
      <c r="C67" t="s">
        <v>8</v>
      </c>
      <c r="D67" t="s">
        <v>12</v>
      </c>
      <c r="E67" t="s">
        <v>16</v>
      </c>
      <c r="F67">
        <v>71</v>
      </c>
      <c r="G67">
        <v>2.1124E-2</v>
      </c>
      <c r="H67" t="s">
        <v>24</v>
      </c>
      <c r="J67">
        <f t="shared" si="0"/>
        <v>2.12E-2</v>
      </c>
    </row>
    <row r="68" spans="1:10" x14ac:dyDescent="0.3">
      <c r="A68">
        <v>99</v>
      </c>
      <c r="B68">
        <v>11.078779000000001</v>
      </c>
      <c r="C68" t="s">
        <v>12</v>
      </c>
      <c r="D68" t="s">
        <v>8</v>
      </c>
      <c r="E68" t="s">
        <v>16</v>
      </c>
      <c r="F68">
        <v>71</v>
      </c>
      <c r="G68">
        <v>5.1029999999999999E-3</v>
      </c>
      <c r="H68" t="s">
        <v>24</v>
      </c>
      <c r="J68">
        <f t="shared" ref="J68:J131" si="1">ROUNDUP(G68,4)</f>
        <v>5.2000000000000006E-3</v>
      </c>
    </row>
    <row r="69" spans="1:10" x14ac:dyDescent="0.3">
      <c r="A69">
        <v>100</v>
      </c>
      <c r="B69">
        <v>11.130737</v>
      </c>
      <c r="C69" t="s">
        <v>8</v>
      </c>
      <c r="D69" t="s">
        <v>12</v>
      </c>
      <c r="E69" t="s">
        <v>10</v>
      </c>
      <c r="F69">
        <v>54</v>
      </c>
      <c r="G69">
        <v>5.1957999999999997E-2</v>
      </c>
      <c r="H69" t="s">
        <v>52</v>
      </c>
      <c r="J69">
        <f t="shared" si="1"/>
        <v>5.2000000000000005E-2</v>
      </c>
    </row>
    <row r="70" spans="1:10" x14ac:dyDescent="0.3">
      <c r="A70">
        <v>101</v>
      </c>
      <c r="B70">
        <v>11.158405999999999</v>
      </c>
      <c r="C70" t="s">
        <v>41</v>
      </c>
      <c r="D70" t="s">
        <v>8</v>
      </c>
      <c r="E70" t="s">
        <v>10</v>
      </c>
      <c r="F70">
        <v>60</v>
      </c>
      <c r="G70">
        <v>2.7668999999999999E-2</v>
      </c>
      <c r="H70" t="s">
        <v>44</v>
      </c>
      <c r="J70">
        <f t="shared" si="1"/>
        <v>2.7699999999999999E-2</v>
      </c>
    </row>
    <row r="71" spans="1:10" x14ac:dyDescent="0.3">
      <c r="A71">
        <v>102</v>
      </c>
      <c r="B71">
        <v>11.499753</v>
      </c>
      <c r="C71" t="s">
        <v>12</v>
      </c>
      <c r="D71" t="s">
        <v>8</v>
      </c>
      <c r="E71" t="s">
        <v>16</v>
      </c>
      <c r="F71">
        <v>71</v>
      </c>
      <c r="G71">
        <v>0.34134700000000001</v>
      </c>
      <c r="H71" t="s">
        <v>24</v>
      </c>
      <c r="J71">
        <f t="shared" si="1"/>
        <v>0.34139999999999998</v>
      </c>
    </row>
    <row r="72" spans="1:10" x14ac:dyDescent="0.3">
      <c r="A72">
        <v>103</v>
      </c>
      <c r="B72">
        <v>11.550366</v>
      </c>
      <c r="C72" t="s">
        <v>8</v>
      </c>
      <c r="D72" t="s">
        <v>12</v>
      </c>
      <c r="E72" t="s">
        <v>10</v>
      </c>
      <c r="F72">
        <v>54</v>
      </c>
      <c r="G72">
        <v>5.0612999999999998E-2</v>
      </c>
      <c r="H72" t="s">
        <v>53</v>
      </c>
      <c r="J72">
        <f t="shared" si="1"/>
        <v>5.0700000000000002E-2</v>
      </c>
    </row>
    <row r="73" spans="1:10" x14ac:dyDescent="0.3">
      <c r="A73">
        <v>104</v>
      </c>
      <c r="B73">
        <v>11.977085000000001</v>
      </c>
      <c r="C73" t="s">
        <v>8</v>
      </c>
      <c r="D73" t="s">
        <v>12</v>
      </c>
      <c r="E73" t="s">
        <v>16</v>
      </c>
      <c r="F73">
        <v>71</v>
      </c>
      <c r="G73">
        <v>0.42671900000000001</v>
      </c>
      <c r="H73" t="s">
        <v>24</v>
      </c>
      <c r="J73">
        <f t="shared" si="1"/>
        <v>0.42680000000000001</v>
      </c>
    </row>
    <row r="74" spans="1:10" x14ac:dyDescent="0.3">
      <c r="A74">
        <v>105</v>
      </c>
      <c r="B74">
        <v>11.99253</v>
      </c>
      <c r="C74" t="s">
        <v>12</v>
      </c>
      <c r="D74" t="s">
        <v>8</v>
      </c>
      <c r="E74" t="s">
        <v>16</v>
      </c>
      <c r="F74">
        <v>71</v>
      </c>
      <c r="G74">
        <v>1.5445E-2</v>
      </c>
      <c r="H74" t="s">
        <v>24</v>
      </c>
      <c r="J74">
        <f t="shared" si="1"/>
        <v>1.55E-2</v>
      </c>
    </row>
    <row r="75" spans="1:10" x14ac:dyDescent="0.3">
      <c r="A75">
        <v>106</v>
      </c>
      <c r="B75">
        <v>12.018556999999999</v>
      </c>
      <c r="C75" t="s">
        <v>8</v>
      </c>
      <c r="D75" t="s">
        <v>9</v>
      </c>
      <c r="E75" t="s">
        <v>10</v>
      </c>
      <c r="F75">
        <v>66</v>
      </c>
      <c r="G75">
        <v>2.6027000000000002E-2</v>
      </c>
      <c r="H75" t="s">
        <v>31</v>
      </c>
      <c r="J75">
        <f t="shared" si="1"/>
        <v>2.6099999999999998E-2</v>
      </c>
    </row>
    <row r="76" spans="1:10" x14ac:dyDescent="0.3">
      <c r="A76">
        <v>107</v>
      </c>
      <c r="B76">
        <v>12.03384</v>
      </c>
      <c r="C76" t="s">
        <v>8</v>
      </c>
      <c r="D76" t="s">
        <v>12</v>
      </c>
      <c r="E76" t="s">
        <v>10</v>
      </c>
      <c r="F76">
        <v>54</v>
      </c>
      <c r="G76">
        <v>1.5283E-2</v>
      </c>
      <c r="H76" t="s">
        <v>54</v>
      </c>
      <c r="J76">
        <f t="shared" si="1"/>
        <v>1.5299999999999999E-2</v>
      </c>
    </row>
    <row r="77" spans="1:10" x14ac:dyDescent="0.3">
      <c r="A77">
        <v>109</v>
      </c>
      <c r="B77">
        <v>12.514948</v>
      </c>
      <c r="C77" t="s">
        <v>12</v>
      </c>
      <c r="D77" t="s">
        <v>8</v>
      </c>
      <c r="E77" t="s">
        <v>16</v>
      </c>
      <c r="F77">
        <v>71</v>
      </c>
      <c r="G77">
        <v>0.48110799999999998</v>
      </c>
      <c r="H77" t="s">
        <v>24</v>
      </c>
      <c r="J77">
        <f t="shared" si="1"/>
        <v>0.48120000000000002</v>
      </c>
    </row>
    <row r="78" spans="1:10" x14ac:dyDescent="0.3">
      <c r="A78">
        <v>110</v>
      </c>
      <c r="B78">
        <v>12.562889</v>
      </c>
      <c r="C78" t="s">
        <v>8</v>
      </c>
      <c r="D78" t="s">
        <v>12</v>
      </c>
      <c r="E78" t="s">
        <v>10</v>
      </c>
      <c r="F78">
        <v>54</v>
      </c>
      <c r="G78">
        <v>4.7940999999999998E-2</v>
      </c>
      <c r="H78" t="s">
        <v>55</v>
      </c>
      <c r="J78">
        <f t="shared" si="1"/>
        <v>4.8000000000000001E-2</v>
      </c>
    </row>
    <row r="79" spans="1:10" x14ac:dyDescent="0.3">
      <c r="A79">
        <v>111</v>
      </c>
      <c r="B79">
        <v>12.944882</v>
      </c>
      <c r="C79" t="s">
        <v>8</v>
      </c>
      <c r="D79" t="s">
        <v>12</v>
      </c>
      <c r="E79" t="s">
        <v>16</v>
      </c>
      <c r="F79">
        <v>71</v>
      </c>
      <c r="G79">
        <v>0.38199300000000003</v>
      </c>
      <c r="H79" t="s">
        <v>24</v>
      </c>
      <c r="J79">
        <f t="shared" si="1"/>
        <v>0.38200000000000001</v>
      </c>
    </row>
    <row r="80" spans="1:10" x14ac:dyDescent="0.3">
      <c r="A80">
        <v>112</v>
      </c>
      <c r="B80">
        <v>12.949992999999999</v>
      </c>
      <c r="C80" t="s">
        <v>12</v>
      </c>
      <c r="D80" t="s">
        <v>8</v>
      </c>
      <c r="E80" t="s">
        <v>16</v>
      </c>
      <c r="F80">
        <v>71</v>
      </c>
      <c r="G80">
        <v>5.1110000000000001E-3</v>
      </c>
      <c r="H80" t="s">
        <v>24</v>
      </c>
      <c r="J80">
        <f t="shared" si="1"/>
        <v>5.2000000000000006E-3</v>
      </c>
    </row>
    <row r="81" spans="1:10" x14ac:dyDescent="0.3">
      <c r="A81">
        <v>113</v>
      </c>
      <c r="B81">
        <v>13.002748</v>
      </c>
      <c r="C81" t="s">
        <v>8</v>
      </c>
      <c r="D81" t="s">
        <v>12</v>
      </c>
      <c r="E81" t="s">
        <v>10</v>
      </c>
      <c r="F81">
        <v>54</v>
      </c>
      <c r="G81">
        <v>5.2755000000000003E-2</v>
      </c>
      <c r="H81" t="s">
        <v>56</v>
      </c>
      <c r="J81">
        <f t="shared" si="1"/>
        <v>5.28E-2</v>
      </c>
    </row>
    <row r="82" spans="1:10" x14ac:dyDescent="0.3">
      <c r="A82">
        <v>114</v>
      </c>
      <c r="B82">
        <v>13.493566</v>
      </c>
      <c r="C82" t="s">
        <v>12</v>
      </c>
      <c r="D82" t="s">
        <v>8</v>
      </c>
      <c r="E82" t="s">
        <v>16</v>
      </c>
      <c r="F82">
        <v>71</v>
      </c>
      <c r="G82">
        <v>0.49081799999999998</v>
      </c>
      <c r="H82" t="s">
        <v>24</v>
      </c>
      <c r="J82">
        <f t="shared" si="1"/>
        <v>0.4909</v>
      </c>
    </row>
    <row r="83" spans="1:10" x14ac:dyDescent="0.3">
      <c r="A83">
        <v>115</v>
      </c>
      <c r="B83">
        <v>13.533839</v>
      </c>
      <c r="C83" t="s">
        <v>8</v>
      </c>
      <c r="D83" t="s">
        <v>12</v>
      </c>
      <c r="E83" t="s">
        <v>10</v>
      </c>
      <c r="F83">
        <v>54</v>
      </c>
      <c r="G83">
        <v>4.0273000000000003E-2</v>
      </c>
      <c r="H83" t="s">
        <v>57</v>
      </c>
      <c r="J83">
        <f t="shared" si="1"/>
        <v>4.0300000000000002E-2</v>
      </c>
    </row>
    <row r="84" spans="1:10" x14ac:dyDescent="0.3">
      <c r="A84">
        <v>116</v>
      </c>
      <c r="B84">
        <v>13.942836</v>
      </c>
      <c r="C84" t="s">
        <v>8</v>
      </c>
      <c r="D84" t="s">
        <v>12</v>
      </c>
      <c r="E84" t="s">
        <v>16</v>
      </c>
      <c r="F84">
        <v>71</v>
      </c>
      <c r="G84">
        <v>0.408997</v>
      </c>
      <c r="H84" t="s">
        <v>24</v>
      </c>
      <c r="J84">
        <f t="shared" si="1"/>
        <v>0.40899999999999997</v>
      </c>
    </row>
    <row r="85" spans="1:10" x14ac:dyDescent="0.3">
      <c r="A85">
        <v>117</v>
      </c>
      <c r="B85">
        <v>13.947340000000001</v>
      </c>
      <c r="C85" t="s">
        <v>12</v>
      </c>
      <c r="D85" t="s">
        <v>8</v>
      </c>
      <c r="E85" t="s">
        <v>16</v>
      </c>
      <c r="F85">
        <v>71</v>
      </c>
      <c r="G85">
        <v>4.5040000000000002E-3</v>
      </c>
      <c r="H85" t="s">
        <v>24</v>
      </c>
      <c r="J85">
        <f t="shared" si="1"/>
        <v>4.5999999999999999E-3</v>
      </c>
    </row>
    <row r="86" spans="1:10" x14ac:dyDescent="0.3">
      <c r="A86">
        <v>118</v>
      </c>
      <c r="B86">
        <v>14.00107</v>
      </c>
      <c r="C86" t="s">
        <v>8</v>
      </c>
      <c r="D86" t="s">
        <v>12</v>
      </c>
      <c r="E86" t="s">
        <v>10</v>
      </c>
      <c r="F86">
        <v>54</v>
      </c>
      <c r="G86">
        <v>5.373E-2</v>
      </c>
      <c r="H86" t="s">
        <v>58</v>
      </c>
      <c r="J86">
        <f t="shared" si="1"/>
        <v>5.3800000000000001E-2</v>
      </c>
    </row>
    <row r="87" spans="1:10" x14ac:dyDescent="0.3">
      <c r="A87">
        <v>122</v>
      </c>
      <c r="B87">
        <v>14.453760000000001</v>
      </c>
      <c r="C87" t="s">
        <v>12</v>
      </c>
      <c r="D87" t="s">
        <v>8</v>
      </c>
      <c r="E87" t="s">
        <v>16</v>
      </c>
      <c r="F87">
        <v>71</v>
      </c>
      <c r="G87">
        <v>0.45268999999999998</v>
      </c>
      <c r="H87" t="s">
        <v>24</v>
      </c>
      <c r="J87">
        <f t="shared" si="1"/>
        <v>0.45269999999999999</v>
      </c>
    </row>
    <row r="88" spans="1:10" x14ac:dyDescent="0.3">
      <c r="A88">
        <v>123</v>
      </c>
      <c r="B88">
        <v>14.499973000000001</v>
      </c>
      <c r="C88" t="s">
        <v>8</v>
      </c>
      <c r="D88" t="s">
        <v>12</v>
      </c>
      <c r="E88" t="s">
        <v>10</v>
      </c>
      <c r="F88">
        <v>54</v>
      </c>
      <c r="G88">
        <v>4.6212999999999997E-2</v>
      </c>
      <c r="H88" t="s">
        <v>59</v>
      </c>
      <c r="J88">
        <f t="shared" si="1"/>
        <v>4.6300000000000001E-2</v>
      </c>
    </row>
    <row r="89" spans="1:10" x14ac:dyDescent="0.3">
      <c r="A89">
        <v>124</v>
      </c>
      <c r="B89">
        <v>14.943016999999999</v>
      </c>
      <c r="C89" t="s">
        <v>8</v>
      </c>
      <c r="D89" t="s">
        <v>12</v>
      </c>
      <c r="E89" t="s">
        <v>16</v>
      </c>
      <c r="F89">
        <v>71</v>
      </c>
      <c r="G89">
        <v>0.44304399999999999</v>
      </c>
      <c r="H89" t="s">
        <v>24</v>
      </c>
      <c r="J89">
        <f t="shared" si="1"/>
        <v>0.44309999999999999</v>
      </c>
    </row>
    <row r="90" spans="1:10" x14ac:dyDescent="0.3">
      <c r="A90">
        <v>125</v>
      </c>
      <c r="B90">
        <v>14.948534</v>
      </c>
      <c r="C90" t="s">
        <v>12</v>
      </c>
      <c r="D90" t="s">
        <v>8</v>
      </c>
      <c r="E90" t="s">
        <v>16</v>
      </c>
      <c r="F90">
        <v>71</v>
      </c>
      <c r="G90">
        <v>5.5170000000000002E-3</v>
      </c>
      <c r="H90" t="s">
        <v>24</v>
      </c>
      <c r="J90">
        <f t="shared" si="1"/>
        <v>5.5999999999999999E-3</v>
      </c>
    </row>
    <row r="91" spans="1:10" x14ac:dyDescent="0.3">
      <c r="A91">
        <v>126</v>
      </c>
      <c r="B91">
        <v>14.999015999999999</v>
      </c>
      <c r="C91" t="s">
        <v>8</v>
      </c>
      <c r="D91" t="s">
        <v>12</v>
      </c>
      <c r="E91" t="s">
        <v>10</v>
      </c>
      <c r="F91">
        <v>54</v>
      </c>
      <c r="G91">
        <v>5.0481999999999999E-2</v>
      </c>
      <c r="H91" t="s">
        <v>60</v>
      </c>
      <c r="J91">
        <f t="shared" si="1"/>
        <v>5.0500000000000003E-2</v>
      </c>
    </row>
    <row r="92" spans="1:10" x14ac:dyDescent="0.3">
      <c r="A92">
        <v>127</v>
      </c>
      <c r="B92">
        <v>15.483058</v>
      </c>
      <c r="C92" t="s">
        <v>12</v>
      </c>
      <c r="D92" t="s">
        <v>8</v>
      </c>
      <c r="E92" t="s">
        <v>16</v>
      </c>
      <c r="F92">
        <v>71</v>
      </c>
      <c r="G92">
        <v>0.48404199999999997</v>
      </c>
      <c r="H92" t="s">
        <v>24</v>
      </c>
      <c r="J92">
        <f t="shared" si="1"/>
        <v>0.48409999999999997</v>
      </c>
    </row>
    <row r="93" spans="1:10" x14ac:dyDescent="0.3">
      <c r="A93">
        <v>128</v>
      </c>
      <c r="B93">
        <v>15.527856999999999</v>
      </c>
      <c r="C93" t="s">
        <v>8</v>
      </c>
      <c r="D93" t="s">
        <v>12</v>
      </c>
      <c r="E93" t="s">
        <v>10</v>
      </c>
      <c r="F93">
        <v>54</v>
      </c>
      <c r="G93">
        <v>4.4798999999999999E-2</v>
      </c>
      <c r="H93" t="s">
        <v>61</v>
      </c>
      <c r="J93">
        <f t="shared" si="1"/>
        <v>4.48E-2</v>
      </c>
    </row>
    <row r="94" spans="1:10" x14ac:dyDescent="0.3">
      <c r="A94">
        <v>129</v>
      </c>
      <c r="B94">
        <v>15.954319</v>
      </c>
      <c r="C94" t="s">
        <v>8</v>
      </c>
      <c r="D94" t="s">
        <v>12</v>
      </c>
      <c r="E94" t="s">
        <v>16</v>
      </c>
      <c r="F94">
        <v>71</v>
      </c>
      <c r="G94">
        <v>0.42646200000000001</v>
      </c>
      <c r="H94" t="s">
        <v>24</v>
      </c>
      <c r="J94">
        <f t="shared" si="1"/>
        <v>0.42649999999999999</v>
      </c>
    </row>
    <row r="95" spans="1:10" x14ac:dyDescent="0.3">
      <c r="A95">
        <v>130</v>
      </c>
      <c r="B95">
        <v>15.960469</v>
      </c>
      <c r="C95" t="s">
        <v>12</v>
      </c>
      <c r="D95" t="s">
        <v>8</v>
      </c>
      <c r="E95" t="s">
        <v>16</v>
      </c>
      <c r="F95">
        <v>71</v>
      </c>
      <c r="G95">
        <v>6.1500000000000001E-3</v>
      </c>
      <c r="H95" t="s">
        <v>24</v>
      </c>
      <c r="J95">
        <f t="shared" si="1"/>
        <v>6.2000000000000006E-3</v>
      </c>
    </row>
    <row r="96" spans="1:10" x14ac:dyDescent="0.3">
      <c r="A96">
        <v>131</v>
      </c>
      <c r="B96">
        <v>16.011255999999999</v>
      </c>
      <c r="C96" t="s">
        <v>8</v>
      </c>
      <c r="D96" t="s">
        <v>12</v>
      </c>
      <c r="E96" t="s">
        <v>10</v>
      </c>
      <c r="F96">
        <v>54</v>
      </c>
      <c r="G96">
        <v>5.0786999999999999E-2</v>
      </c>
      <c r="H96" t="s">
        <v>62</v>
      </c>
      <c r="J96">
        <f t="shared" si="1"/>
        <v>5.0800000000000005E-2</v>
      </c>
    </row>
    <row r="97" spans="1:10" x14ac:dyDescent="0.3">
      <c r="A97">
        <v>133</v>
      </c>
      <c r="B97">
        <v>16.500896000000001</v>
      </c>
      <c r="C97" t="s">
        <v>12</v>
      </c>
      <c r="D97" t="s">
        <v>8</v>
      </c>
      <c r="E97" t="s">
        <v>16</v>
      </c>
      <c r="F97">
        <v>71</v>
      </c>
      <c r="G97">
        <v>0.48964000000000002</v>
      </c>
      <c r="H97" t="s">
        <v>24</v>
      </c>
      <c r="J97">
        <f t="shared" si="1"/>
        <v>0.48969999999999997</v>
      </c>
    </row>
    <row r="98" spans="1:10" x14ac:dyDescent="0.3">
      <c r="A98">
        <v>134</v>
      </c>
      <c r="B98">
        <v>16.555161999999999</v>
      </c>
      <c r="C98" t="s">
        <v>8</v>
      </c>
      <c r="D98" t="s">
        <v>12</v>
      </c>
      <c r="E98" t="s">
        <v>10</v>
      </c>
      <c r="F98">
        <v>54</v>
      </c>
      <c r="G98">
        <v>5.4266000000000002E-2</v>
      </c>
      <c r="H98" t="s">
        <v>63</v>
      </c>
      <c r="J98">
        <f t="shared" si="1"/>
        <v>5.4300000000000001E-2</v>
      </c>
    </row>
    <row r="99" spans="1:10" x14ac:dyDescent="0.3">
      <c r="A99">
        <v>135</v>
      </c>
      <c r="B99">
        <v>16.942502999999999</v>
      </c>
      <c r="C99" t="s">
        <v>8</v>
      </c>
      <c r="D99" t="s">
        <v>12</v>
      </c>
      <c r="E99" t="s">
        <v>16</v>
      </c>
      <c r="F99">
        <v>71</v>
      </c>
      <c r="G99">
        <v>0.38734099999999999</v>
      </c>
      <c r="H99" t="s">
        <v>24</v>
      </c>
      <c r="J99">
        <f t="shared" si="1"/>
        <v>0.38739999999999997</v>
      </c>
    </row>
    <row r="100" spans="1:10" x14ac:dyDescent="0.3">
      <c r="A100">
        <v>136</v>
      </c>
      <c r="B100">
        <v>16.947779000000001</v>
      </c>
      <c r="C100" t="s">
        <v>12</v>
      </c>
      <c r="D100" t="s">
        <v>8</v>
      </c>
      <c r="E100" t="s">
        <v>16</v>
      </c>
      <c r="F100">
        <v>71</v>
      </c>
      <c r="G100">
        <v>5.2760000000000003E-3</v>
      </c>
      <c r="H100" t="s">
        <v>24</v>
      </c>
      <c r="J100">
        <f t="shared" si="1"/>
        <v>5.3E-3</v>
      </c>
    </row>
    <row r="101" spans="1:10" x14ac:dyDescent="0.3">
      <c r="A101">
        <v>137</v>
      </c>
      <c r="B101">
        <v>16.996780999999999</v>
      </c>
      <c r="C101" t="s">
        <v>8</v>
      </c>
      <c r="D101" t="s">
        <v>12</v>
      </c>
      <c r="E101" t="s">
        <v>10</v>
      </c>
      <c r="F101">
        <v>54</v>
      </c>
      <c r="G101">
        <v>4.9001999999999997E-2</v>
      </c>
      <c r="H101" t="s">
        <v>64</v>
      </c>
      <c r="J101">
        <f t="shared" si="1"/>
        <v>4.9100000000000005E-2</v>
      </c>
    </row>
    <row r="102" spans="1:10" x14ac:dyDescent="0.3">
      <c r="A102">
        <v>138</v>
      </c>
      <c r="B102">
        <v>17.621203999999999</v>
      </c>
      <c r="C102" t="s">
        <v>12</v>
      </c>
      <c r="D102" t="s">
        <v>8</v>
      </c>
      <c r="E102" t="s">
        <v>16</v>
      </c>
      <c r="F102">
        <v>71</v>
      </c>
      <c r="G102">
        <v>0.62442299999999995</v>
      </c>
      <c r="H102" t="s">
        <v>24</v>
      </c>
      <c r="J102">
        <f t="shared" si="1"/>
        <v>0.62449999999999994</v>
      </c>
    </row>
    <row r="103" spans="1:10" x14ac:dyDescent="0.3">
      <c r="A103">
        <v>139</v>
      </c>
      <c r="B103">
        <v>17.66535</v>
      </c>
      <c r="C103" t="s">
        <v>8</v>
      </c>
      <c r="D103" t="s">
        <v>12</v>
      </c>
      <c r="E103" t="s">
        <v>10</v>
      </c>
      <c r="F103">
        <v>54</v>
      </c>
      <c r="G103">
        <v>4.4145999999999998E-2</v>
      </c>
      <c r="H103" t="s">
        <v>65</v>
      </c>
      <c r="J103">
        <f t="shared" si="1"/>
        <v>4.4200000000000003E-2</v>
      </c>
    </row>
    <row r="104" spans="1:10" x14ac:dyDescent="0.3">
      <c r="A104">
        <v>140</v>
      </c>
      <c r="B104">
        <v>18.079829</v>
      </c>
      <c r="C104" t="s">
        <v>8</v>
      </c>
      <c r="D104" t="s">
        <v>12</v>
      </c>
      <c r="E104" t="s">
        <v>16</v>
      </c>
      <c r="F104">
        <v>71</v>
      </c>
      <c r="G104">
        <v>0.41447899999999999</v>
      </c>
      <c r="H104" t="s">
        <v>24</v>
      </c>
      <c r="J104">
        <f t="shared" si="1"/>
        <v>0.41449999999999998</v>
      </c>
    </row>
    <row r="105" spans="1:10" x14ac:dyDescent="0.3">
      <c r="A105">
        <v>141</v>
      </c>
      <c r="B105">
        <v>18.084166</v>
      </c>
      <c r="C105" t="s">
        <v>12</v>
      </c>
      <c r="D105" t="s">
        <v>8</v>
      </c>
      <c r="E105" t="s">
        <v>16</v>
      </c>
      <c r="F105">
        <v>71</v>
      </c>
      <c r="G105">
        <v>4.3369999999999997E-3</v>
      </c>
      <c r="H105" t="s">
        <v>24</v>
      </c>
      <c r="J105">
        <f t="shared" si="1"/>
        <v>4.4000000000000003E-3</v>
      </c>
    </row>
    <row r="106" spans="1:10" x14ac:dyDescent="0.3">
      <c r="A106">
        <v>142</v>
      </c>
      <c r="B106">
        <v>18.133101</v>
      </c>
      <c r="C106" t="s">
        <v>8</v>
      </c>
      <c r="D106" t="s">
        <v>12</v>
      </c>
      <c r="E106" t="s">
        <v>10</v>
      </c>
      <c r="F106">
        <v>54</v>
      </c>
      <c r="G106">
        <v>4.8934999999999999E-2</v>
      </c>
      <c r="H106" t="s">
        <v>66</v>
      </c>
      <c r="J106">
        <f t="shared" si="1"/>
        <v>4.9000000000000002E-2</v>
      </c>
    </row>
    <row r="107" spans="1:10" x14ac:dyDescent="0.3">
      <c r="A107">
        <v>144</v>
      </c>
      <c r="B107">
        <v>18.681623999999999</v>
      </c>
      <c r="C107" t="s">
        <v>12</v>
      </c>
      <c r="D107" t="s">
        <v>8</v>
      </c>
      <c r="E107" t="s">
        <v>16</v>
      </c>
      <c r="F107">
        <v>71</v>
      </c>
      <c r="G107">
        <v>0.54852299999999998</v>
      </c>
      <c r="H107" t="s">
        <v>24</v>
      </c>
      <c r="J107">
        <f t="shared" si="1"/>
        <v>0.54859999999999998</v>
      </c>
    </row>
    <row r="108" spans="1:10" x14ac:dyDescent="0.3">
      <c r="A108">
        <v>145</v>
      </c>
      <c r="B108">
        <v>18.722546999999999</v>
      </c>
      <c r="C108" t="s">
        <v>8</v>
      </c>
      <c r="D108" t="s">
        <v>12</v>
      </c>
      <c r="E108" t="s">
        <v>10</v>
      </c>
      <c r="F108">
        <v>54</v>
      </c>
      <c r="G108">
        <v>4.0923000000000001E-2</v>
      </c>
      <c r="H108" t="s">
        <v>67</v>
      </c>
      <c r="J108">
        <f t="shared" si="1"/>
        <v>4.1000000000000002E-2</v>
      </c>
    </row>
    <row r="109" spans="1:10" x14ac:dyDescent="0.3">
      <c r="A109">
        <v>146</v>
      </c>
      <c r="B109">
        <v>19.092326</v>
      </c>
      <c r="C109" t="s">
        <v>8</v>
      </c>
      <c r="D109" t="s">
        <v>12</v>
      </c>
      <c r="E109" t="s">
        <v>16</v>
      </c>
      <c r="F109">
        <v>71</v>
      </c>
      <c r="G109">
        <v>0.36977900000000002</v>
      </c>
      <c r="H109" t="s">
        <v>24</v>
      </c>
      <c r="J109">
        <f t="shared" si="1"/>
        <v>0.36979999999999996</v>
      </c>
    </row>
    <row r="110" spans="1:10" x14ac:dyDescent="0.3">
      <c r="A110">
        <v>147</v>
      </c>
      <c r="B110">
        <v>19.097273999999999</v>
      </c>
      <c r="C110" t="s">
        <v>12</v>
      </c>
      <c r="D110" t="s">
        <v>8</v>
      </c>
      <c r="E110" t="s">
        <v>16</v>
      </c>
      <c r="F110">
        <v>71</v>
      </c>
      <c r="G110">
        <v>4.9480000000000001E-3</v>
      </c>
      <c r="H110" t="s">
        <v>24</v>
      </c>
      <c r="J110">
        <f t="shared" si="1"/>
        <v>5.0000000000000001E-3</v>
      </c>
    </row>
    <row r="111" spans="1:10" x14ac:dyDescent="0.3">
      <c r="A111">
        <v>148</v>
      </c>
      <c r="B111">
        <v>19.143070000000002</v>
      </c>
      <c r="C111" t="s">
        <v>8</v>
      </c>
      <c r="D111" t="s">
        <v>12</v>
      </c>
      <c r="E111" t="s">
        <v>10</v>
      </c>
      <c r="F111">
        <v>54</v>
      </c>
      <c r="G111">
        <v>4.5796000000000003E-2</v>
      </c>
      <c r="H111" t="s">
        <v>68</v>
      </c>
      <c r="J111">
        <f t="shared" si="1"/>
        <v>4.58E-2</v>
      </c>
    </row>
    <row r="112" spans="1:10" x14ac:dyDescent="0.3">
      <c r="A112">
        <v>149</v>
      </c>
      <c r="B112">
        <v>19.626605000000001</v>
      </c>
      <c r="C112" t="s">
        <v>12</v>
      </c>
      <c r="D112" t="s">
        <v>8</v>
      </c>
      <c r="E112" t="s">
        <v>16</v>
      </c>
      <c r="F112">
        <v>71</v>
      </c>
      <c r="G112">
        <v>0.48353499999999999</v>
      </c>
      <c r="H112" t="s">
        <v>24</v>
      </c>
      <c r="J112">
        <f t="shared" si="1"/>
        <v>0.48359999999999997</v>
      </c>
    </row>
    <row r="113" spans="1:10" x14ac:dyDescent="0.3">
      <c r="A113">
        <v>150</v>
      </c>
      <c r="B113">
        <v>19.671987000000001</v>
      </c>
      <c r="C113" t="s">
        <v>8</v>
      </c>
      <c r="D113" t="s">
        <v>12</v>
      </c>
      <c r="E113" t="s">
        <v>10</v>
      </c>
      <c r="F113">
        <v>54</v>
      </c>
      <c r="G113">
        <v>4.5381999999999999E-2</v>
      </c>
      <c r="H113" t="s">
        <v>69</v>
      </c>
      <c r="J113">
        <f t="shared" si="1"/>
        <v>4.5400000000000003E-2</v>
      </c>
    </row>
    <row r="114" spans="1:10" x14ac:dyDescent="0.3">
      <c r="A114">
        <v>151</v>
      </c>
      <c r="B114">
        <v>20.070553</v>
      </c>
      <c r="C114" t="s">
        <v>8</v>
      </c>
      <c r="D114" t="s">
        <v>12</v>
      </c>
      <c r="E114" t="s">
        <v>16</v>
      </c>
      <c r="F114">
        <v>71</v>
      </c>
      <c r="G114">
        <v>0.39856599999999998</v>
      </c>
      <c r="H114" t="s">
        <v>24</v>
      </c>
      <c r="J114">
        <f t="shared" si="1"/>
        <v>0.39860000000000001</v>
      </c>
    </row>
    <row r="115" spans="1:10" x14ac:dyDescent="0.3">
      <c r="A115">
        <v>152</v>
      </c>
      <c r="B115">
        <v>20.075458999999999</v>
      </c>
      <c r="C115" t="s">
        <v>12</v>
      </c>
      <c r="D115" t="s">
        <v>8</v>
      </c>
      <c r="E115" t="s">
        <v>16</v>
      </c>
      <c r="F115">
        <v>71</v>
      </c>
      <c r="G115">
        <v>4.9059999999999998E-3</v>
      </c>
      <c r="H115" t="s">
        <v>24</v>
      </c>
      <c r="J115">
        <f t="shared" si="1"/>
        <v>5.0000000000000001E-3</v>
      </c>
    </row>
    <row r="116" spans="1:10" x14ac:dyDescent="0.3">
      <c r="A116">
        <v>153</v>
      </c>
      <c r="B116">
        <v>20.125612</v>
      </c>
      <c r="C116" t="s">
        <v>8</v>
      </c>
      <c r="D116" t="s">
        <v>12</v>
      </c>
      <c r="E116" t="s">
        <v>10</v>
      </c>
      <c r="F116">
        <v>54</v>
      </c>
      <c r="G116">
        <v>5.0153000000000003E-2</v>
      </c>
      <c r="H116" t="s">
        <v>70</v>
      </c>
      <c r="J116">
        <f t="shared" si="1"/>
        <v>5.0200000000000002E-2</v>
      </c>
    </row>
    <row r="117" spans="1:10" x14ac:dyDescent="0.3">
      <c r="A117">
        <v>155</v>
      </c>
      <c r="B117">
        <v>20.581340000000001</v>
      </c>
      <c r="C117" t="s">
        <v>12</v>
      </c>
      <c r="D117" t="s">
        <v>8</v>
      </c>
      <c r="E117" t="s">
        <v>16</v>
      </c>
      <c r="F117">
        <v>71</v>
      </c>
      <c r="G117">
        <v>0.45572800000000002</v>
      </c>
      <c r="H117" t="s">
        <v>24</v>
      </c>
      <c r="J117">
        <f t="shared" si="1"/>
        <v>0.45579999999999998</v>
      </c>
    </row>
    <row r="118" spans="1:10" x14ac:dyDescent="0.3">
      <c r="A118">
        <v>156</v>
      </c>
      <c r="B118">
        <v>20.622032000000001</v>
      </c>
      <c r="C118" t="s">
        <v>8</v>
      </c>
      <c r="D118" t="s">
        <v>12</v>
      </c>
      <c r="E118" t="s">
        <v>10</v>
      </c>
      <c r="F118">
        <v>54</v>
      </c>
      <c r="G118">
        <v>4.0691999999999999E-2</v>
      </c>
      <c r="H118" t="s">
        <v>71</v>
      </c>
      <c r="J118">
        <f t="shared" si="1"/>
        <v>4.07E-2</v>
      </c>
    </row>
    <row r="119" spans="1:10" x14ac:dyDescent="0.3">
      <c r="A119">
        <v>157</v>
      </c>
      <c r="B119">
        <v>20.972380000000001</v>
      </c>
      <c r="C119" t="s">
        <v>8</v>
      </c>
      <c r="D119" t="s">
        <v>12</v>
      </c>
      <c r="E119" t="s">
        <v>16</v>
      </c>
      <c r="F119">
        <v>71</v>
      </c>
      <c r="G119">
        <v>0.35034799999999999</v>
      </c>
      <c r="H119" t="s">
        <v>24</v>
      </c>
      <c r="J119">
        <f t="shared" si="1"/>
        <v>0.35039999999999999</v>
      </c>
    </row>
    <row r="120" spans="1:10" x14ac:dyDescent="0.3">
      <c r="A120">
        <v>158</v>
      </c>
      <c r="B120">
        <v>20.976777999999999</v>
      </c>
      <c r="C120" t="s">
        <v>12</v>
      </c>
      <c r="D120" t="s">
        <v>8</v>
      </c>
      <c r="E120" t="s">
        <v>16</v>
      </c>
      <c r="F120">
        <v>71</v>
      </c>
      <c r="G120">
        <v>4.398E-3</v>
      </c>
      <c r="H120" t="s">
        <v>24</v>
      </c>
      <c r="J120">
        <f t="shared" si="1"/>
        <v>4.4000000000000003E-3</v>
      </c>
    </row>
    <row r="121" spans="1:10" x14ac:dyDescent="0.3">
      <c r="A121">
        <v>159</v>
      </c>
      <c r="B121">
        <v>21.025697000000001</v>
      </c>
      <c r="C121" t="s">
        <v>8</v>
      </c>
      <c r="D121" t="s">
        <v>12</v>
      </c>
      <c r="E121" t="s">
        <v>10</v>
      </c>
      <c r="F121">
        <v>54</v>
      </c>
      <c r="G121">
        <v>4.8918999999999997E-2</v>
      </c>
      <c r="H121" t="s">
        <v>72</v>
      </c>
      <c r="J121">
        <f t="shared" si="1"/>
        <v>4.9000000000000002E-2</v>
      </c>
    </row>
    <row r="122" spans="1:10" x14ac:dyDescent="0.3">
      <c r="A122">
        <v>160</v>
      </c>
      <c r="B122">
        <v>21.180467</v>
      </c>
      <c r="C122" t="s">
        <v>8</v>
      </c>
      <c r="D122" t="s">
        <v>41</v>
      </c>
      <c r="E122" t="s">
        <v>10</v>
      </c>
      <c r="F122">
        <v>66</v>
      </c>
      <c r="G122">
        <v>0.15476999999999999</v>
      </c>
      <c r="H122" t="s">
        <v>73</v>
      </c>
      <c r="J122">
        <f t="shared" si="1"/>
        <v>0.15479999999999999</v>
      </c>
    </row>
    <row r="123" spans="1:10" x14ac:dyDescent="0.3">
      <c r="A123">
        <v>161</v>
      </c>
      <c r="B123">
        <v>21.554888999999999</v>
      </c>
      <c r="C123" t="s">
        <v>12</v>
      </c>
      <c r="D123" t="s">
        <v>8</v>
      </c>
      <c r="E123" t="s">
        <v>16</v>
      </c>
      <c r="F123">
        <v>71</v>
      </c>
      <c r="G123">
        <v>0.37442199999999998</v>
      </c>
      <c r="H123" t="s">
        <v>24</v>
      </c>
      <c r="J123">
        <f t="shared" si="1"/>
        <v>0.3745</v>
      </c>
    </row>
    <row r="124" spans="1:10" x14ac:dyDescent="0.3">
      <c r="A124">
        <v>162</v>
      </c>
      <c r="B124">
        <v>21.603603</v>
      </c>
      <c r="C124" t="s">
        <v>8</v>
      </c>
      <c r="D124" t="s">
        <v>12</v>
      </c>
      <c r="E124" t="s">
        <v>10</v>
      </c>
      <c r="F124">
        <v>54</v>
      </c>
      <c r="G124">
        <v>4.8714E-2</v>
      </c>
      <c r="H124" t="s">
        <v>74</v>
      </c>
      <c r="J124">
        <f t="shared" si="1"/>
        <v>4.8800000000000003E-2</v>
      </c>
    </row>
    <row r="125" spans="1:10" x14ac:dyDescent="0.3">
      <c r="A125">
        <v>163</v>
      </c>
      <c r="B125">
        <v>21.954435</v>
      </c>
      <c r="C125" t="s">
        <v>8</v>
      </c>
      <c r="D125" t="s">
        <v>12</v>
      </c>
      <c r="E125" t="s">
        <v>16</v>
      </c>
      <c r="F125">
        <v>71</v>
      </c>
      <c r="G125">
        <v>0.35083199999999998</v>
      </c>
      <c r="H125" t="s">
        <v>24</v>
      </c>
      <c r="J125">
        <f t="shared" si="1"/>
        <v>0.35089999999999999</v>
      </c>
    </row>
    <row r="126" spans="1:10" x14ac:dyDescent="0.3">
      <c r="A126">
        <v>164</v>
      </c>
      <c r="B126">
        <v>21.959607999999999</v>
      </c>
      <c r="C126" t="s">
        <v>12</v>
      </c>
      <c r="D126" t="s">
        <v>8</v>
      </c>
      <c r="E126" t="s">
        <v>16</v>
      </c>
      <c r="F126">
        <v>71</v>
      </c>
      <c r="G126">
        <v>5.1729999999999996E-3</v>
      </c>
      <c r="H126" t="s">
        <v>24</v>
      </c>
      <c r="J126">
        <f t="shared" si="1"/>
        <v>5.2000000000000006E-3</v>
      </c>
    </row>
    <row r="127" spans="1:10" x14ac:dyDescent="0.3">
      <c r="A127">
        <v>165</v>
      </c>
      <c r="B127">
        <v>22.007489</v>
      </c>
      <c r="C127" t="s">
        <v>8</v>
      </c>
      <c r="D127" t="s">
        <v>12</v>
      </c>
      <c r="E127" t="s">
        <v>10</v>
      </c>
      <c r="F127">
        <v>54</v>
      </c>
      <c r="G127">
        <v>4.7881E-2</v>
      </c>
      <c r="H127" t="s">
        <v>75</v>
      </c>
      <c r="J127">
        <f t="shared" si="1"/>
        <v>4.7900000000000005E-2</v>
      </c>
    </row>
    <row r="128" spans="1:10" x14ac:dyDescent="0.3">
      <c r="A128">
        <v>166</v>
      </c>
      <c r="B128">
        <v>22.193165</v>
      </c>
      <c r="C128" t="s">
        <v>8</v>
      </c>
      <c r="D128" t="s">
        <v>41</v>
      </c>
      <c r="E128" t="s">
        <v>10</v>
      </c>
      <c r="F128">
        <v>66</v>
      </c>
      <c r="G128">
        <v>0.18567600000000001</v>
      </c>
      <c r="H128" t="s">
        <v>76</v>
      </c>
      <c r="J128">
        <f t="shared" si="1"/>
        <v>0.18569999999999998</v>
      </c>
    </row>
    <row r="129" spans="1:10" x14ac:dyDescent="0.3">
      <c r="A129">
        <v>168</v>
      </c>
      <c r="B129">
        <v>22.444666999999999</v>
      </c>
      <c r="C129" t="s">
        <v>12</v>
      </c>
      <c r="D129" t="s">
        <v>8</v>
      </c>
      <c r="E129" t="s">
        <v>16</v>
      </c>
      <c r="F129">
        <v>71</v>
      </c>
      <c r="G129">
        <v>0.251502</v>
      </c>
      <c r="H129" t="s">
        <v>24</v>
      </c>
      <c r="J129">
        <f t="shared" si="1"/>
        <v>0.25159999999999999</v>
      </c>
    </row>
    <row r="130" spans="1:10" x14ac:dyDescent="0.3">
      <c r="A130">
        <v>169</v>
      </c>
      <c r="B130">
        <v>22.489875000000001</v>
      </c>
      <c r="C130" t="s">
        <v>8</v>
      </c>
      <c r="D130" t="s">
        <v>12</v>
      </c>
      <c r="E130" t="s">
        <v>10</v>
      </c>
      <c r="F130">
        <v>54</v>
      </c>
      <c r="G130">
        <v>4.5207999999999998E-2</v>
      </c>
      <c r="H130" t="s">
        <v>77</v>
      </c>
      <c r="J130">
        <f t="shared" si="1"/>
        <v>4.53E-2</v>
      </c>
    </row>
    <row r="131" spans="1:10" x14ac:dyDescent="0.3">
      <c r="A131">
        <v>170</v>
      </c>
      <c r="B131">
        <v>22.536415000000002</v>
      </c>
      <c r="C131" t="s">
        <v>41</v>
      </c>
      <c r="D131" t="s">
        <v>8</v>
      </c>
      <c r="E131" t="s">
        <v>10</v>
      </c>
      <c r="F131">
        <v>60</v>
      </c>
      <c r="G131">
        <v>4.6539999999999998E-2</v>
      </c>
      <c r="H131" t="s">
        <v>78</v>
      </c>
      <c r="J131">
        <f t="shared" si="1"/>
        <v>4.6600000000000003E-2</v>
      </c>
    </row>
    <row r="132" spans="1:10" x14ac:dyDescent="0.3">
      <c r="A132">
        <v>171</v>
      </c>
      <c r="B132">
        <v>23.050243999999999</v>
      </c>
      <c r="C132" t="s">
        <v>8</v>
      </c>
      <c r="D132" t="s">
        <v>41</v>
      </c>
      <c r="E132" t="s">
        <v>10</v>
      </c>
      <c r="F132">
        <v>66</v>
      </c>
      <c r="G132">
        <v>0.51382899999999998</v>
      </c>
      <c r="H132" t="s">
        <v>79</v>
      </c>
      <c r="J132">
        <f t="shared" ref="J132:J168" si="2">ROUNDUP(G132,4)</f>
        <v>0.51390000000000002</v>
      </c>
    </row>
    <row r="133" spans="1:10" x14ac:dyDescent="0.3">
      <c r="A133">
        <v>172</v>
      </c>
      <c r="B133">
        <v>23.053180999999999</v>
      </c>
      <c r="C133" t="s">
        <v>41</v>
      </c>
      <c r="D133" t="s">
        <v>8</v>
      </c>
      <c r="E133" t="s">
        <v>10</v>
      </c>
      <c r="F133">
        <v>60</v>
      </c>
      <c r="G133">
        <v>2.9369999999999999E-3</v>
      </c>
      <c r="H133" t="s">
        <v>78</v>
      </c>
      <c r="J133">
        <f t="shared" si="2"/>
        <v>2.9999999999999996E-3</v>
      </c>
    </row>
    <row r="134" spans="1:10" x14ac:dyDescent="0.3">
      <c r="A134">
        <v>173</v>
      </c>
      <c r="B134">
        <v>23.562494999999998</v>
      </c>
      <c r="C134" t="s">
        <v>8</v>
      </c>
      <c r="D134" t="s">
        <v>41</v>
      </c>
      <c r="E134" t="s">
        <v>10</v>
      </c>
      <c r="F134">
        <v>66</v>
      </c>
      <c r="G134">
        <v>0.50931400000000004</v>
      </c>
      <c r="H134" t="s">
        <v>79</v>
      </c>
      <c r="J134">
        <f t="shared" si="2"/>
        <v>0.50939999999999996</v>
      </c>
    </row>
    <row r="135" spans="1:10" x14ac:dyDescent="0.3">
      <c r="A135">
        <v>174</v>
      </c>
      <c r="B135">
        <v>23.567045</v>
      </c>
      <c r="C135" t="s">
        <v>41</v>
      </c>
      <c r="D135" t="s">
        <v>8</v>
      </c>
      <c r="E135" t="s">
        <v>10</v>
      </c>
      <c r="F135">
        <v>60</v>
      </c>
      <c r="G135">
        <v>4.5500000000000002E-3</v>
      </c>
      <c r="H135" t="s">
        <v>78</v>
      </c>
      <c r="J135">
        <f t="shared" si="2"/>
        <v>4.5999999999999999E-3</v>
      </c>
    </row>
    <row r="136" spans="1:10" x14ac:dyDescent="0.3">
      <c r="A136">
        <v>175</v>
      </c>
      <c r="B136">
        <v>24.075866999999999</v>
      </c>
      <c r="C136" t="s">
        <v>8</v>
      </c>
      <c r="D136" t="s">
        <v>41</v>
      </c>
      <c r="E136" t="s">
        <v>10</v>
      </c>
      <c r="F136">
        <v>66</v>
      </c>
      <c r="G136">
        <v>0.508822</v>
      </c>
      <c r="H136" t="s">
        <v>79</v>
      </c>
      <c r="J136">
        <f t="shared" si="2"/>
        <v>0.50890000000000002</v>
      </c>
    </row>
    <row r="137" spans="1:10" x14ac:dyDescent="0.3">
      <c r="A137">
        <v>176</v>
      </c>
      <c r="B137">
        <v>24.080349999999999</v>
      </c>
      <c r="C137" t="s">
        <v>41</v>
      </c>
      <c r="D137" t="s">
        <v>8</v>
      </c>
      <c r="E137" t="s">
        <v>10</v>
      </c>
      <c r="F137">
        <v>60</v>
      </c>
      <c r="G137">
        <v>4.483E-3</v>
      </c>
      <c r="H137" t="s">
        <v>78</v>
      </c>
      <c r="J137">
        <f t="shared" si="2"/>
        <v>4.5000000000000005E-3</v>
      </c>
    </row>
    <row r="138" spans="1:10" x14ac:dyDescent="0.3">
      <c r="A138">
        <v>200</v>
      </c>
      <c r="B138">
        <v>34.110934</v>
      </c>
      <c r="C138" t="s">
        <v>8</v>
      </c>
      <c r="D138" t="s">
        <v>41</v>
      </c>
      <c r="E138" t="s">
        <v>10</v>
      </c>
      <c r="F138">
        <v>66</v>
      </c>
      <c r="G138">
        <v>10.030583999999999</v>
      </c>
      <c r="H138" t="s">
        <v>80</v>
      </c>
      <c r="J138">
        <f t="shared" si="2"/>
        <v>10.0306</v>
      </c>
    </row>
    <row r="139" spans="1:10" x14ac:dyDescent="0.3">
      <c r="A139">
        <v>201</v>
      </c>
      <c r="B139">
        <v>34.251725999999998</v>
      </c>
      <c r="C139" t="s">
        <v>41</v>
      </c>
      <c r="D139" t="s">
        <v>8</v>
      </c>
      <c r="E139" t="s">
        <v>10</v>
      </c>
      <c r="F139">
        <v>60</v>
      </c>
      <c r="G139">
        <v>0.140792</v>
      </c>
      <c r="H139" t="s">
        <v>81</v>
      </c>
      <c r="J139">
        <f t="shared" si="2"/>
        <v>0.14079999999999998</v>
      </c>
    </row>
    <row r="140" spans="1:10" x14ac:dyDescent="0.3">
      <c r="A140">
        <v>203</v>
      </c>
      <c r="B140">
        <v>34.753145000000004</v>
      </c>
      <c r="C140" t="s">
        <v>8</v>
      </c>
      <c r="D140" t="s">
        <v>41</v>
      </c>
      <c r="E140" t="s">
        <v>10</v>
      </c>
      <c r="F140">
        <v>66</v>
      </c>
      <c r="G140">
        <v>0.50141899999999995</v>
      </c>
      <c r="H140" t="s">
        <v>82</v>
      </c>
      <c r="J140">
        <f t="shared" si="2"/>
        <v>0.50149999999999995</v>
      </c>
    </row>
    <row r="141" spans="1:10" x14ac:dyDescent="0.3">
      <c r="A141">
        <v>204</v>
      </c>
      <c r="B141">
        <v>34.826577</v>
      </c>
      <c r="C141" t="s">
        <v>41</v>
      </c>
      <c r="D141" t="s">
        <v>8</v>
      </c>
      <c r="E141" t="s">
        <v>10</v>
      </c>
      <c r="F141">
        <v>60</v>
      </c>
      <c r="G141">
        <v>7.3431999999999997E-2</v>
      </c>
      <c r="H141" t="s">
        <v>81</v>
      </c>
      <c r="J141">
        <f t="shared" si="2"/>
        <v>7.350000000000001E-2</v>
      </c>
    </row>
    <row r="142" spans="1:10" x14ac:dyDescent="0.3">
      <c r="A142">
        <v>205</v>
      </c>
      <c r="B142">
        <v>35.328176999999997</v>
      </c>
      <c r="C142" t="s">
        <v>8</v>
      </c>
      <c r="D142" t="s">
        <v>41</v>
      </c>
      <c r="E142" t="s">
        <v>10</v>
      </c>
      <c r="F142">
        <v>66</v>
      </c>
      <c r="G142">
        <v>0.50160000000000005</v>
      </c>
      <c r="H142" t="s">
        <v>82</v>
      </c>
      <c r="J142">
        <f t="shared" si="2"/>
        <v>0.50160000000000005</v>
      </c>
    </row>
    <row r="143" spans="1:10" x14ac:dyDescent="0.3">
      <c r="A143">
        <v>206</v>
      </c>
      <c r="B143">
        <v>35.430501999999997</v>
      </c>
      <c r="C143" t="s">
        <v>41</v>
      </c>
      <c r="D143" t="s">
        <v>8</v>
      </c>
      <c r="E143" t="s">
        <v>10</v>
      </c>
      <c r="F143">
        <v>60</v>
      </c>
      <c r="G143">
        <v>0.102325</v>
      </c>
      <c r="H143" t="s">
        <v>81</v>
      </c>
      <c r="J143">
        <f t="shared" si="2"/>
        <v>0.1024</v>
      </c>
    </row>
    <row r="144" spans="1:10" x14ac:dyDescent="0.3">
      <c r="A144">
        <v>207</v>
      </c>
      <c r="B144">
        <v>35.939168000000002</v>
      </c>
      <c r="C144" t="s">
        <v>8</v>
      </c>
      <c r="D144" t="s">
        <v>41</v>
      </c>
      <c r="E144" t="s">
        <v>10</v>
      </c>
      <c r="F144">
        <v>66</v>
      </c>
      <c r="G144">
        <v>0.50866599999999995</v>
      </c>
      <c r="H144" t="s">
        <v>82</v>
      </c>
      <c r="J144">
        <f t="shared" si="2"/>
        <v>0.50870000000000004</v>
      </c>
    </row>
    <row r="145" spans="1:10" x14ac:dyDescent="0.3">
      <c r="A145">
        <v>208</v>
      </c>
      <c r="B145">
        <v>35.944169000000002</v>
      </c>
      <c r="C145" t="s">
        <v>41</v>
      </c>
      <c r="D145" t="s">
        <v>8</v>
      </c>
      <c r="E145" t="s">
        <v>10</v>
      </c>
      <c r="F145">
        <v>60</v>
      </c>
      <c r="G145">
        <v>5.0010000000000002E-3</v>
      </c>
      <c r="H145" t="s">
        <v>81</v>
      </c>
      <c r="J145">
        <f t="shared" si="2"/>
        <v>5.1000000000000004E-3</v>
      </c>
    </row>
    <row r="146" spans="1:10" x14ac:dyDescent="0.3">
      <c r="A146">
        <v>209</v>
      </c>
      <c r="B146">
        <v>36.174954999999997</v>
      </c>
      <c r="C146" t="s">
        <v>8</v>
      </c>
      <c r="D146" t="s">
        <v>83</v>
      </c>
      <c r="E146" t="s">
        <v>10</v>
      </c>
      <c r="F146">
        <v>66</v>
      </c>
      <c r="G146">
        <v>0.23078599999999999</v>
      </c>
      <c r="H146" t="s">
        <v>84</v>
      </c>
      <c r="J146">
        <f t="shared" si="2"/>
        <v>0.23079999999999998</v>
      </c>
    </row>
    <row r="147" spans="1:10" x14ac:dyDescent="0.3">
      <c r="A147">
        <v>210</v>
      </c>
      <c r="B147">
        <v>36.175252999999998</v>
      </c>
      <c r="C147" t="s">
        <v>8</v>
      </c>
      <c r="D147" t="s">
        <v>85</v>
      </c>
      <c r="E147" t="s">
        <v>10</v>
      </c>
      <c r="F147">
        <v>66</v>
      </c>
      <c r="G147">
        <v>2.9799999999999998E-4</v>
      </c>
      <c r="H147" t="s">
        <v>86</v>
      </c>
      <c r="J147">
        <f t="shared" si="2"/>
        <v>3.0000000000000003E-4</v>
      </c>
    </row>
    <row r="148" spans="1:10" x14ac:dyDescent="0.3">
      <c r="A148">
        <v>212</v>
      </c>
      <c r="B148">
        <v>36.457833000000001</v>
      </c>
      <c r="C148" t="s">
        <v>8</v>
      </c>
      <c r="D148" t="s">
        <v>41</v>
      </c>
      <c r="E148" t="s">
        <v>10</v>
      </c>
      <c r="F148">
        <v>66</v>
      </c>
      <c r="G148">
        <v>0.28258</v>
      </c>
      <c r="H148" t="s">
        <v>82</v>
      </c>
      <c r="J148">
        <f t="shared" si="2"/>
        <v>0.28259999999999996</v>
      </c>
    </row>
    <row r="149" spans="1:10" x14ac:dyDescent="0.3">
      <c r="A149">
        <v>213</v>
      </c>
      <c r="B149">
        <v>36.553406000000003</v>
      </c>
      <c r="C149" t="s">
        <v>41</v>
      </c>
      <c r="D149" t="s">
        <v>8</v>
      </c>
      <c r="E149" t="s">
        <v>10</v>
      </c>
      <c r="F149">
        <v>60</v>
      </c>
      <c r="G149">
        <v>9.5573000000000005E-2</v>
      </c>
      <c r="H149" t="s">
        <v>81</v>
      </c>
      <c r="J149">
        <f t="shared" si="2"/>
        <v>9.5600000000000004E-2</v>
      </c>
    </row>
    <row r="150" spans="1:10" x14ac:dyDescent="0.3">
      <c r="A150">
        <v>214</v>
      </c>
      <c r="B150">
        <v>37.179552999999999</v>
      </c>
      <c r="C150" t="s">
        <v>8</v>
      </c>
      <c r="D150" t="s">
        <v>83</v>
      </c>
      <c r="E150" t="s">
        <v>10</v>
      </c>
      <c r="F150">
        <v>66</v>
      </c>
      <c r="G150">
        <v>0.62614700000000001</v>
      </c>
      <c r="H150" t="s">
        <v>87</v>
      </c>
      <c r="J150">
        <f t="shared" si="2"/>
        <v>0.62619999999999998</v>
      </c>
    </row>
    <row r="151" spans="1:10" x14ac:dyDescent="0.3">
      <c r="A151">
        <v>215</v>
      </c>
      <c r="B151">
        <v>37.179574000000002</v>
      </c>
      <c r="C151" t="s">
        <v>8</v>
      </c>
      <c r="D151" t="s">
        <v>85</v>
      </c>
      <c r="E151" t="s">
        <v>10</v>
      </c>
      <c r="F151">
        <v>66</v>
      </c>
      <c r="G151">
        <v>2.0999999999999999E-5</v>
      </c>
      <c r="H151" t="s">
        <v>88</v>
      </c>
      <c r="J151">
        <f t="shared" si="2"/>
        <v>1E-4</v>
      </c>
    </row>
    <row r="152" spans="1:10" x14ac:dyDescent="0.3">
      <c r="A152">
        <v>216</v>
      </c>
      <c r="B152">
        <v>37.180394999999997</v>
      </c>
      <c r="C152" t="s">
        <v>8</v>
      </c>
      <c r="D152" t="s">
        <v>89</v>
      </c>
      <c r="E152" t="s">
        <v>10</v>
      </c>
      <c r="F152">
        <v>66</v>
      </c>
      <c r="G152">
        <v>8.2100000000000001E-4</v>
      </c>
      <c r="H152" t="s">
        <v>90</v>
      </c>
      <c r="J152">
        <f t="shared" si="2"/>
        <v>9.0000000000000008E-4</v>
      </c>
    </row>
    <row r="153" spans="1:10" x14ac:dyDescent="0.3">
      <c r="A153">
        <v>217</v>
      </c>
      <c r="B153">
        <v>38.180298000000001</v>
      </c>
      <c r="C153" t="s">
        <v>8</v>
      </c>
      <c r="D153" t="s">
        <v>89</v>
      </c>
      <c r="E153" t="s">
        <v>10</v>
      </c>
      <c r="F153">
        <v>66</v>
      </c>
      <c r="G153">
        <v>0.99990299999999999</v>
      </c>
      <c r="H153" t="s">
        <v>91</v>
      </c>
      <c r="J153">
        <f t="shared" si="2"/>
        <v>1</v>
      </c>
    </row>
    <row r="154" spans="1:10" x14ac:dyDescent="0.3">
      <c r="A154">
        <v>223</v>
      </c>
      <c r="B154">
        <v>39.186098999999999</v>
      </c>
      <c r="C154" t="s">
        <v>8</v>
      </c>
      <c r="D154" t="s">
        <v>83</v>
      </c>
      <c r="E154" t="s">
        <v>10</v>
      </c>
      <c r="F154">
        <v>66</v>
      </c>
      <c r="G154">
        <v>1.0058009999999999</v>
      </c>
      <c r="H154" t="s">
        <v>87</v>
      </c>
      <c r="J154">
        <f t="shared" si="2"/>
        <v>1.0059</v>
      </c>
    </row>
    <row r="155" spans="1:10" x14ac:dyDescent="0.3">
      <c r="A155">
        <v>224</v>
      </c>
      <c r="B155">
        <v>39.186107999999997</v>
      </c>
      <c r="C155" t="s">
        <v>8</v>
      </c>
      <c r="D155" t="s">
        <v>85</v>
      </c>
      <c r="E155" t="s">
        <v>10</v>
      </c>
      <c r="F155">
        <v>66</v>
      </c>
      <c r="G155">
        <v>9.0000000000000002E-6</v>
      </c>
      <c r="H155" t="s">
        <v>88</v>
      </c>
      <c r="J155">
        <f t="shared" si="2"/>
        <v>1E-4</v>
      </c>
    </row>
    <row r="156" spans="1:10" x14ac:dyDescent="0.3">
      <c r="A156">
        <v>227</v>
      </c>
      <c r="B156">
        <v>40.184573</v>
      </c>
      <c r="C156" t="s">
        <v>8</v>
      </c>
      <c r="D156" t="s">
        <v>89</v>
      </c>
      <c r="E156" t="s">
        <v>10</v>
      </c>
      <c r="F156">
        <v>66</v>
      </c>
      <c r="G156">
        <v>0.99846500000000005</v>
      </c>
      <c r="H156" t="s">
        <v>91</v>
      </c>
      <c r="J156">
        <f t="shared" si="2"/>
        <v>0.99849999999999994</v>
      </c>
    </row>
    <row r="157" spans="1:10" x14ac:dyDescent="0.3">
      <c r="A157">
        <v>232</v>
      </c>
      <c r="B157">
        <v>43.198743999999998</v>
      </c>
      <c r="C157" t="s">
        <v>8</v>
      </c>
      <c r="D157" t="s">
        <v>83</v>
      </c>
      <c r="E157" t="s">
        <v>10</v>
      </c>
      <c r="F157">
        <v>66</v>
      </c>
      <c r="G157">
        <v>3.0141710000000002</v>
      </c>
      <c r="H157" t="s">
        <v>87</v>
      </c>
      <c r="J157">
        <f t="shared" si="2"/>
        <v>3.0142000000000002</v>
      </c>
    </row>
    <row r="158" spans="1:10" x14ac:dyDescent="0.3">
      <c r="A158">
        <v>233</v>
      </c>
      <c r="B158">
        <v>43.19876</v>
      </c>
      <c r="C158" t="s">
        <v>8</v>
      </c>
      <c r="D158" t="s">
        <v>85</v>
      </c>
      <c r="E158" t="s">
        <v>10</v>
      </c>
      <c r="F158">
        <v>66</v>
      </c>
      <c r="G158">
        <v>1.5999999999999999E-5</v>
      </c>
      <c r="H158" t="s">
        <v>88</v>
      </c>
      <c r="J158">
        <f t="shared" si="2"/>
        <v>1E-4</v>
      </c>
    </row>
    <row r="159" spans="1:10" x14ac:dyDescent="0.3">
      <c r="A159">
        <v>234</v>
      </c>
      <c r="B159">
        <v>44.196165000000001</v>
      </c>
      <c r="C159" t="s">
        <v>8</v>
      </c>
      <c r="D159" t="s">
        <v>89</v>
      </c>
      <c r="E159" t="s">
        <v>10</v>
      </c>
      <c r="F159">
        <v>66</v>
      </c>
      <c r="G159">
        <v>0.99740499999999999</v>
      </c>
      <c r="H159" t="s">
        <v>91</v>
      </c>
      <c r="J159">
        <f t="shared" si="2"/>
        <v>0.99749999999999994</v>
      </c>
    </row>
    <row r="160" spans="1:10" x14ac:dyDescent="0.3">
      <c r="A160">
        <v>237</v>
      </c>
      <c r="B160">
        <v>46.582543999999999</v>
      </c>
      <c r="C160" t="s">
        <v>8</v>
      </c>
      <c r="D160" t="s">
        <v>41</v>
      </c>
      <c r="E160" t="s">
        <v>10</v>
      </c>
      <c r="F160">
        <v>66</v>
      </c>
      <c r="G160">
        <v>2.3863789999999998</v>
      </c>
      <c r="H160" t="s">
        <v>92</v>
      </c>
      <c r="J160">
        <f t="shared" si="2"/>
        <v>2.3864000000000001</v>
      </c>
    </row>
    <row r="161" spans="1:13" x14ac:dyDescent="0.3">
      <c r="A161">
        <v>238</v>
      </c>
      <c r="B161">
        <v>46.599353000000001</v>
      </c>
      <c r="C161" t="s">
        <v>41</v>
      </c>
      <c r="D161" t="s">
        <v>8</v>
      </c>
      <c r="E161" t="s">
        <v>10</v>
      </c>
      <c r="F161">
        <v>60</v>
      </c>
      <c r="G161">
        <v>1.6809000000000001E-2</v>
      </c>
      <c r="H161" t="s">
        <v>93</v>
      </c>
      <c r="J161">
        <f t="shared" si="2"/>
        <v>1.6899999999999998E-2</v>
      </c>
    </row>
    <row r="162" spans="1:13" x14ac:dyDescent="0.3">
      <c r="A162">
        <v>239</v>
      </c>
      <c r="B162">
        <v>47.111296000000003</v>
      </c>
      <c r="C162" t="s">
        <v>8</v>
      </c>
      <c r="D162" t="s">
        <v>41</v>
      </c>
      <c r="E162" t="s">
        <v>10</v>
      </c>
      <c r="F162">
        <v>66</v>
      </c>
      <c r="G162">
        <v>0.51194300000000004</v>
      </c>
      <c r="H162" t="s">
        <v>94</v>
      </c>
      <c r="J162">
        <f t="shared" si="2"/>
        <v>0.51200000000000001</v>
      </c>
    </row>
    <row r="163" spans="1:13" x14ac:dyDescent="0.3">
      <c r="A163">
        <v>240</v>
      </c>
      <c r="B163">
        <v>47.218111999999998</v>
      </c>
      <c r="C163" t="s">
        <v>41</v>
      </c>
      <c r="D163" t="s">
        <v>8</v>
      </c>
      <c r="E163" t="s">
        <v>10</v>
      </c>
      <c r="F163">
        <v>60</v>
      </c>
      <c r="G163">
        <v>0.10681599999999999</v>
      </c>
      <c r="H163" t="s">
        <v>93</v>
      </c>
      <c r="J163">
        <f t="shared" si="2"/>
        <v>0.10690000000000001</v>
      </c>
    </row>
    <row r="164" spans="1:13" x14ac:dyDescent="0.3">
      <c r="A164">
        <v>241</v>
      </c>
      <c r="B164">
        <v>47.723007000000003</v>
      </c>
      <c r="C164" t="s">
        <v>8</v>
      </c>
      <c r="D164" t="s">
        <v>41</v>
      </c>
      <c r="E164" t="s">
        <v>10</v>
      </c>
      <c r="F164">
        <v>66</v>
      </c>
      <c r="G164">
        <v>0.50489499999999998</v>
      </c>
      <c r="H164" t="s">
        <v>94</v>
      </c>
      <c r="J164">
        <f t="shared" si="2"/>
        <v>0.50490000000000002</v>
      </c>
    </row>
    <row r="165" spans="1:13" x14ac:dyDescent="0.3">
      <c r="A165">
        <v>247</v>
      </c>
      <c r="B165">
        <v>51.202759999999998</v>
      </c>
      <c r="C165" t="s">
        <v>8</v>
      </c>
      <c r="D165" t="s">
        <v>83</v>
      </c>
      <c r="E165" t="s">
        <v>10</v>
      </c>
      <c r="F165">
        <v>66</v>
      </c>
      <c r="G165">
        <v>3.4797530000000001</v>
      </c>
      <c r="H165" t="s">
        <v>87</v>
      </c>
      <c r="J165">
        <f t="shared" si="2"/>
        <v>3.4798</v>
      </c>
    </row>
    <row r="166" spans="1:13" x14ac:dyDescent="0.3">
      <c r="A166">
        <v>248</v>
      </c>
      <c r="B166">
        <v>51.202759999999998</v>
      </c>
      <c r="C166" t="s">
        <v>8</v>
      </c>
      <c r="D166" t="s">
        <v>85</v>
      </c>
      <c r="E166" t="s">
        <v>10</v>
      </c>
      <c r="F166">
        <v>66</v>
      </c>
      <c r="G166">
        <v>0</v>
      </c>
      <c r="H166" t="s">
        <v>88</v>
      </c>
      <c r="J166">
        <f t="shared" si="2"/>
        <v>0</v>
      </c>
    </row>
    <row r="167" spans="1:13" x14ac:dyDescent="0.3">
      <c r="A167">
        <v>249</v>
      </c>
      <c r="B167">
        <v>51.734352999999999</v>
      </c>
      <c r="C167" t="s">
        <v>8</v>
      </c>
      <c r="D167" t="s">
        <v>41</v>
      </c>
      <c r="E167" t="s">
        <v>10</v>
      </c>
      <c r="F167">
        <v>66</v>
      </c>
      <c r="G167">
        <v>0.53159299999999998</v>
      </c>
      <c r="H167" t="s">
        <v>95</v>
      </c>
      <c r="J167">
        <f t="shared" si="2"/>
        <v>0.53159999999999996</v>
      </c>
    </row>
    <row r="168" spans="1:13" x14ac:dyDescent="0.3">
      <c r="A168">
        <v>250</v>
      </c>
      <c r="B168">
        <v>52.205109</v>
      </c>
      <c r="C168" t="s">
        <v>8</v>
      </c>
      <c r="D168" t="s">
        <v>89</v>
      </c>
      <c r="E168" t="s">
        <v>10</v>
      </c>
      <c r="F168">
        <v>66</v>
      </c>
      <c r="G168">
        <v>0.47075600000000001</v>
      </c>
      <c r="H168" t="s">
        <v>91</v>
      </c>
      <c r="J168">
        <f t="shared" si="2"/>
        <v>0.4708</v>
      </c>
    </row>
    <row r="169" spans="1:13" x14ac:dyDescent="0.3">
      <c r="I169" s="2" t="s">
        <v>96</v>
      </c>
      <c r="J169" s="1">
        <f>SUM(J2:J168)</f>
        <v>52.213800000000013</v>
      </c>
      <c r="K169" s="1">
        <v>167</v>
      </c>
      <c r="L169" s="1">
        <f>J169/K169</f>
        <v>0.31265748502994017</v>
      </c>
      <c r="M169" s="1" t="s">
        <v>97</v>
      </c>
    </row>
    <row r="170" spans="1:13" x14ac:dyDescent="0.3">
      <c r="I170" s="1"/>
      <c r="J170" s="1"/>
      <c r="K170" s="1"/>
      <c r="L170" s="3">
        <f>L169*1000</f>
        <v>312.65748502994018</v>
      </c>
      <c r="M170" s="1" t="s">
        <v>98</v>
      </c>
    </row>
    <row r="171" spans="1:13" x14ac:dyDescent="0.3">
      <c r="I171" s="1"/>
      <c r="J171" s="1"/>
      <c r="K171" s="1"/>
      <c r="L171" s="1"/>
      <c r="M171" s="1"/>
    </row>
    <row r="172" spans="1:13" x14ac:dyDescent="0.3">
      <c r="I172" s="2" t="s">
        <v>99</v>
      </c>
      <c r="J172" s="1">
        <v>10729</v>
      </c>
      <c r="K172" s="1" t="s">
        <v>100</v>
      </c>
      <c r="L172" s="1"/>
      <c r="M172" s="1"/>
    </row>
    <row r="173" spans="1:13" x14ac:dyDescent="0.3">
      <c r="I173" s="1"/>
      <c r="J173" s="1">
        <f>J172/J169</f>
        <v>205.48207561985524</v>
      </c>
      <c r="K173" s="1" t="s">
        <v>100</v>
      </c>
      <c r="L173" s="1"/>
      <c r="M173" s="1"/>
    </row>
    <row r="174" spans="1:13" x14ac:dyDescent="0.3">
      <c r="I174" s="1"/>
      <c r="J174" s="1">
        <f>J173*8</f>
        <v>1643.8566049588419</v>
      </c>
      <c r="K174" s="1" t="s">
        <v>101</v>
      </c>
      <c r="L174" s="1"/>
      <c r="M174" s="1"/>
    </row>
    <row r="175" spans="1:13" x14ac:dyDescent="0.3">
      <c r="I175" s="1"/>
      <c r="J175" s="3">
        <f>J174/1000</f>
        <v>1.6438566049588419</v>
      </c>
      <c r="K175" s="1" t="s">
        <v>102</v>
      </c>
      <c r="L175" s="1"/>
      <c r="M175" s="1"/>
    </row>
    <row r="176" spans="1:13" x14ac:dyDescent="0.3">
      <c r="I176" s="1"/>
      <c r="J176" s="1"/>
      <c r="K176" s="1"/>
      <c r="L176" s="1"/>
      <c r="M176" s="1"/>
    </row>
    <row r="177" spans="9:13" x14ac:dyDescent="0.3">
      <c r="I177" s="2" t="s">
        <v>103</v>
      </c>
      <c r="J177" s="1">
        <v>167</v>
      </c>
      <c r="K177" s="1" t="s">
        <v>104</v>
      </c>
      <c r="L177" s="1"/>
      <c r="M177" s="1"/>
    </row>
    <row r="178" spans="9:13" x14ac:dyDescent="0.3">
      <c r="I178" s="1"/>
      <c r="J178" s="1">
        <v>0</v>
      </c>
      <c r="K178" s="1" t="s">
        <v>105</v>
      </c>
      <c r="L178" s="1"/>
      <c r="M178" s="1"/>
    </row>
    <row r="179" spans="9:13" x14ac:dyDescent="0.3">
      <c r="I179" s="1"/>
      <c r="J179" s="3">
        <f>(J178/J177)*100%</f>
        <v>0</v>
      </c>
      <c r="K179" s="1" t="s">
        <v>106</v>
      </c>
      <c r="L179" s="1"/>
      <c r="M17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2025-03-08T12:45:43Z</dcterms:created>
  <dcterms:modified xsi:type="dcterms:W3CDTF">2025-04-30T08:14:21Z</dcterms:modified>
</cp:coreProperties>
</file>