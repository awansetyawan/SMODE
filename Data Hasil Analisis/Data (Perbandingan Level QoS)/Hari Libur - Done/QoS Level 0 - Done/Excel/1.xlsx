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0\Excel\"/>
    </mc:Choice>
  </mc:AlternateContent>
  <xr:revisionPtr revIDLastSave="0" documentId="13_ncr:1_{8B9CF1C3-B5E7-4D38-A296-7CC60B9C9AA1}" xr6:coauthVersionLast="47" xr6:coauthVersionMax="47" xr10:uidLastSave="{00000000-0000-0000-0000-000000000000}"/>
  <bookViews>
    <workbookView xWindow="-108" yWindow="-108" windowWidth="23256" windowHeight="13176" xr2:uid="{D7D96F73-C088-4CB9-96B8-1EA3285BDD97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195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3" i="1"/>
  <c r="J185" i="1" s="1"/>
  <c r="J189" i="1" l="1"/>
  <c r="J190" i="1" s="1"/>
  <c r="J191" i="1" s="1"/>
  <c r="L185" i="1"/>
  <c r="L186" i="1" s="1"/>
</calcChain>
</file>

<file path=xl/sharedStrings.xml><?xml version="1.0" encoding="utf-8"?>
<sst xmlns="http://schemas.openxmlformats.org/spreadsheetml/2006/main" count="752" uniqueCount="111">
  <si>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</si>
  <si>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</si>
  <si>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</si>
  <si>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</si>
  <si>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</si>
  <si>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</si>
  <si>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</si>
  <si>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</si>
  <si>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</si>
  <si>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</si>
  <si>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</si>
  <si>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63142  &gt;  1883 [SYN] Seq=0 Win=64240 Len=0 MSS=1460 WS=256 SACK_PERM</t>
  </si>
  <si>
    <t>1883  &gt;  63142 [SYN, ACK] Seq=0 Ack=1 Win=64240 Len=0 MSS=1460 SACK_PERM WS=128</t>
  </si>
  <si>
    <t>63142  &gt;  1883 [ACK] Seq=1 Ack=1 Win=1051136 Len=0</t>
  </si>
  <si>
    <t>MQTT</t>
  </si>
  <si>
    <t>Connect Command</t>
  </si>
  <si>
    <t>1883  &gt;  63142 [ACK] Seq=1 Ack=46 Win=64256 Len=0</t>
  </si>
  <si>
    <t>Connect Ack</t>
  </si>
  <si>
    <t>Subscribe Request (id=2735) [test/QoS/]</t>
  </si>
  <si>
    <t>Subscribe Ack (id=2735)</t>
  </si>
  <si>
    <t>63142  &gt;  1883 [ACK] Seq=62 Ack=10 Win=1051136 Len=0</t>
  </si>
  <si>
    <t>10.10.200.223</t>
  </si>
  <si>
    <t>63143  &gt;  80 [SYN] Seq=0 Win=64240 Len=0 MSS=1460 WS=256 SACK_PERM</t>
  </si>
  <si>
    <t>80  &gt;  63143 [RST, ACK] Seq=1 Ack=1 Win=0 Len=0</t>
  </si>
  <si>
    <t>Publish Message [test/QoS/]</t>
  </si>
  <si>
    <t>63142  &gt;  1883 [ACK] Seq=79 Ack=27 Win=1051136 Len=0</t>
  </si>
  <si>
    <t>[TCP Port numbers reused] 63143  &gt;  80 [SYN] Seq=0 Win=64240 Len=0 MSS=1460 WS=256 SACK_PERM</t>
  </si>
  <si>
    <t>63142  &gt;  1883 [ACK] Seq=79 Ack=44 Win=1051136 Len=0</t>
  </si>
  <si>
    <t>63142  &gt;  1883 [ACK] Seq=96 Ack=61 Win=1051136 Len=0</t>
  </si>
  <si>
    <t>63142  &gt;  1883 [ACK] Seq=96 Ack=78 Win=1050880 Len=0</t>
  </si>
  <si>
    <t>63142  &gt;  1883 [ACK] Seq=113 Ack=95 Win=1050880 Len=0</t>
  </si>
  <si>
    <t>63142  &gt;  1883 [ACK] Seq=113 Ack=112 Win=1050880 Len=0</t>
  </si>
  <si>
    <t>63142  &gt;  1883 [ACK] Seq=130 Ack=129 Win=1050880 Len=0</t>
  </si>
  <si>
    <t>63142  &gt;  1883 [ACK] Seq=130 Ack=146 Win=1050880 Len=0</t>
  </si>
  <si>
    <t>63142  &gt;  1883 [ACK] Seq=147 Ack=163 Win=1050880 Len=0</t>
  </si>
  <si>
    <t>63142  &gt;  1883 [ACK] Seq=147 Ack=180 Win=1050880 Len=0</t>
  </si>
  <si>
    <t>63142  &gt;  1883 [ACK] Seq=164 Ack=197 Win=1050880 Len=0</t>
  </si>
  <si>
    <t>63142  &gt;  1883 [ACK] Seq=164 Ack=214 Win=1050880 Len=0</t>
  </si>
  <si>
    <t>63142  &gt;  1883 [ACK] Seq=181 Ack=231 Win=1050880 Len=0</t>
  </si>
  <si>
    <t>63142  &gt;  1883 [ACK] Seq=181 Ack=248 Win=1050880 Len=0</t>
  </si>
  <si>
    <t>63142  &gt;  1883 [ACK] Seq=198 Ack=265 Win=1050880 Len=0</t>
  </si>
  <si>
    <t>63142  &gt;  1883 [ACK] Seq=198 Ack=282 Win=1050880 Len=0</t>
  </si>
  <si>
    <t>63142  &gt;  1883 [ACK] Seq=215 Ack=299 Win=1050880 Len=0</t>
  </si>
  <si>
    <t>63142  &gt;  1883 [ACK] Seq=215 Ack=316 Win=1050880 Len=0</t>
  </si>
  <si>
    <t>63142  &gt;  1883 [ACK] Seq=232 Ack=333 Win=1050624 Len=0</t>
  </si>
  <si>
    <t>63142  &gt;  1883 [ACK] Seq=232 Ack=350 Win=1050624 Len=0</t>
  </si>
  <si>
    <t>63144  &gt;  80 [SYN] Seq=0 Win=64240 Len=0 MSS=1460 WS=256 SACK_PERM</t>
  </si>
  <si>
    <t>80  &gt;  63144 [RST, ACK] Seq=1 Ack=1 Win=0 Len=0</t>
  </si>
  <si>
    <t>[TCP Port numbers reused] 63144  &gt;  80 [SYN] Seq=0 Win=64240 Len=0 MSS=1460 WS=256 SACK_PERM</t>
  </si>
  <si>
    <t>10.180.15.247</t>
  </si>
  <si>
    <t>63145  &gt;  7680 [SYN] Seq=0 Win=64240 Len=0 MSS=1460 WS=256 SACK_PERM</t>
  </si>
  <si>
    <t>10.180.1.28</t>
  </si>
  <si>
    <t>63146  &gt;  7680 [SYN] Seq=0 Win=64240 Len=0 MSS=1460 WS=256 SACK_PERM</t>
  </si>
  <si>
    <t>63142  &gt;  1883 [ACK] Seq=249 Ack=367 Win=1050624 Len=0</t>
  </si>
  <si>
    <t>63142  &gt;  1883 [ACK] Seq=249 Ack=384 Win=1050624 Len=0</t>
  </si>
  <si>
    <t>[TCP Retransmission] 63145  &gt;  7680 [SYN] Seq=0 Win=64240 Len=0 MSS=1460 WS=256 SACK_PERM</t>
  </si>
  <si>
    <t>[TCP Retransmission] 63146  &gt;  7680 [SYN] Seq=0 Win=64240 Len=0 MSS=1460 WS=256 SACK_PERM</t>
  </si>
  <si>
    <t>10.180.13.121</t>
  </si>
  <si>
    <t>63147  &gt;  7680 [SYN] Seq=0 Win=64240 Len=0 MSS=1460 WS=256 SACK_PERM</t>
  </si>
  <si>
    <t>[TCP Retransmission] 63147  &gt;  7680 [SYN] Seq=0 Win=64240 Len=0 MSS=1460 WS=256 SACK_PERM</t>
  </si>
  <si>
    <t>63142  &gt;  1883 [ACK] Seq=266 Ack=401 Win=1050624 Len=0</t>
  </si>
  <si>
    <t>63142  &gt;  1883 [ACK] Seq=266 Ack=418 Win=1050624 Len=0</t>
  </si>
  <si>
    <t>63142  &gt;  1883 [ACK] Seq=283 Ack=435 Win=1050624 Len=0</t>
  </si>
  <si>
    <t>63142  &gt;  1883 [ACK] Seq=283 Ack=452 Win=1050624 Len=0</t>
  </si>
  <si>
    <t>63142  &gt;  1883 [ACK] Seq=300 Ack=469 Win=1050624 Len=0</t>
  </si>
  <si>
    <t>63142  &gt;  1883 [ACK] Seq=300 Ack=486 Win=1050624 Len=0</t>
  </si>
  <si>
    <t>63142  &gt;  1883 [ACK] Seq=317 Ack=503 Win=1050624 Len=0</t>
  </si>
  <si>
    <t>63142  &gt;  1883 [ACK] Seq=317 Ack=520 Win=1050624 Len=0</t>
  </si>
  <si>
    <t>63142  &gt;  1883 [ACK] Seq=334 Ack=537 Win=1050624 Len=0</t>
  </si>
  <si>
    <t>63142  &gt;  1883 [ACK] Seq=334 Ack=554 Win=1050624 Len=0</t>
  </si>
  <si>
    <t>63142  &gt;  1883 [ACK] Seq=351 Ack=571 Win=1050624 Len=0</t>
  </si>
  <si>
    <t>63142  &gt;  1883 [ACK] Seq=351 Ack=588 Win=1050368 Len=0</t>
  </si>
  <si>
    <t>63142  &gt;  1883 [ACK] Seq=368 Ack=605 Win=1050368 Len=0</t>
  </si>
  <si>
    <t>63142  &gt;  1883 [ACK] Seq=368 Ack=622 Win=1050368 Len=0</t>
  </si>
  <si>
    <t>63142  &gt;  1883 [ACK] Seq=385 Ack=639 Win=1050368 Len=0</t>
  </si>
  <si>
    <t>63148  &gt;  80 [SYN] Seq=0 Win=64240 Len=0 MSS=1460 WS=256 SACK_PERM</t>
  </si>
  <si>
    <t>80  &gt;  63148 [RST, ACK] Seq=1 Ack=1 Win=0 Len=0</t>
  </si>
  <si>
    <t>63142  &gt;  1883 [ACK] Seq=385 Ack=656 Win=1050368 Len=0</t>
  </si>
  <si>
    <t>[TCP Port numbers reused] 63148  &gt;  80 [SYN] Seq=0 Win=64240 Len=0 MSS=1460 WS=256 SACK_PERM</t>
  </si>
  <si>
    <t>63142  &gt;  1883 [ACK] Seq=402 Ack=673 Win=1050368 Len=0</t>
  </si>
  <si>
    <t>63142  &gt;  1883 [ACK] Seq=402 Ack=690 Win=1050368 Len=0</t>
  </si>
  <si>
    <t>172.172.255.216</t>
  </si>
  <si>
    <t>49636  &gt;  443 [ACK] Seq=1 Ack=1 Win=513 Len=1</t>
  </si>
  <si>
    <t>443  &gt;  49636 [ACK] Seq=1 Ack=2 Win=7495 Len=0 SLE=1 SRE=2</t>
  </si>
  <si>
    <t>63149  &gt;  80 [SYN] Seq=0 Win=64240 Len=0 MSS=1460 WS=256 SACK_PERM</t>
  </si>
  <si>
    <t>80  &gt;  63149 [RST, ACK] Seq=1 Ack=1 Win=0 Len=0</t>
  </si>
  <si>
    <t>[TCP Port numbers reused] 63149  &gt;  80 [SYN] Seq=0 Win=64240 Len=0 MSS=1460 WS=256 SACK_PERM</t>
  </si>
  <si>
    <t>49635  &gt;  443 [ACK] Seq=1 Ack=1 Win=512 Len=1</t>
  </si>
  <si>
    <t>443  &gt;  49635 [ACK] Seq=1 Ack=2 Win=6981 Len=0 SLE=1 SRE=2</t>
  </si>
  <si>
    <t>63150  &gt;  80 [SYN] Seq=0 Win=64240 Len=0 MSS=1460 WS=256 SACK_PERM</t>
  </si>
  <si>
    <t>80  &gt;  63150 [RST, ACK] Seq=1 Ack=1 Win=0 Len=0</t>
  </si>
  <si>
    <t>[TCP Port numbers reused] 63150  &gt;  80 [SYN] Seq=0 Win=64240 Len=0 MSS=1460 WS=256 SACK_PERM</t>
  </si>
  <si>
    <t>10.180.15.97</t>
  </si>
  <si>
    <t>63151  &gt;  7680 [SYN] Seq=0 Win=64240 Len=0 MSS=1460 WS=256 SACK_PERM</t>
  </si>
  <si>
    <t>10.149.3.214</t>
  </si>
  <si>
    <t>63152  &gt;  7680 [SYN] Seq=0 Win=64240 Len=0 MSS=1460 WS=256 SACK_PERM</t>
  </si>
  <si>
    <t>[TCP Retransmission] 63152  &gt;  7680 [SYN] Seq=0 Win=64240 Len=0 MSS=1460 WS=256 SACK_PERM</t>
  </si>
  <si>
    <t>[TCP Retransmission] 63151  &gt;  7680 [SYN] Seq=0 Win=64240 Len=0 MSS=1460 WS=256 SACK_PERM</t>
  </si>
  <si>
    <t>10.180.9.194</t>
  </si>
  <si>
    <t>63153  &gt;  7680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</si>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</sst>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178673</xdr:colOff>
      <xdr:row>184</xdr:row>
      <xdr:rowOff>22747</xdr:rowOff>
    </xdr:from>
    <xdr:to>
      <xdr:col>7</xdr:col>
      <xdr:colOff>5834017</xdr:colOff>
      <xdr:row>214</xdr:row>
      <xdr:rowOff>27543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B0F38-B166-A849-ADF7-31C4BE434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7897" y="33505254"/>
          <a:ext cx="8077821" cy="5463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EFB1-A661-4955-BC0D-67AF1F03FA02}">
  <dimension ref="A1:M195"/>
  <sheetViews>
    <sheetView tabSelected="1" topLeftCell="E186" zoomScale="104" workbookViewId="0">
      <selection activeCell="J201" sqref="J201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10</v>
      </c>
      <c r="B2">
        <v>1.8657379999999999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11</v>
      </c>
      <c r="B3">
        <v>1.8664670000000001</v>
      </c>
      <c r="C3" t="s">
        <v>9</v>
      </c>
      <c r="D3" t="s">
        <v>8</v>
      </c>
      <c r="E3" t="s">
        <v>10</v>
      </c>
      <c r="F3">
        <v>66</v>
      </c>
      <c r="G3">
        <v>7.2900000000000005E-4</v>
      </c>
      <c r="H3" t="s">
        <v>12</v>
      </c>
      <c r="J3">
        <f>ROUNDUP(G3,4)</f>
        <v>8.0000000000000004E-4</v>
      </c>
    </row>
    <row r="4" spans="1:10" x14ac:dyDescent="0.3">
      <c r="A4">
        <v>12</v>
      </c>
      <c r="B4">
        <v>1.8665449999999999</v>
      </c>
      <c r="C4" t="s">
        <v>8</v>
      </c>
      <c r="D4" t="s">
        <v>9</v>
      </c>
      <c r="E4" t="s">
        <v>10</v>
      </c>
      <c r="F4">
        <v>54</v>
      </c>
      <c r="G4">
        <v>7.7999999999999999E-5</v>
      </c>
      <c r="H4" t="s">
        <v>13</v>
      </c>
      <c r="J4">
        <f t="shared" ref="J4:J67" si="0">ROUNDUP(G4,4)</f>
        <v>1E-4</v>
      </c>
    </row>
    <row r="5" spans="1:10" x14ac:dyDescent="0.3">
      <c r="A5">
        <v>13</v>
      </c>
      <c r="B5">
        <v>1.868978</v>
      </c>
      <c r="C5" t="s">
        <v>8</v>
      </c>
      <c r="D5" t="s">
        <v>9</v>
      </c>
      <c r="E5" t="s">
        <v>14</v>
      </c>
      <c r="F5">
        <v>99</v>
      </c>
      <c r="G5">
        <v>2.4329999999999998E-3</v>
      </c>
      <c r="H5" t="s">
        <v>15</v>
      </c>
      <c r="J5">
        <f t="shared" si="0"/>
        <v>2.4999999999999996E-3</v>
      </c>
    </row>
    <row r="6" spans="1:10" x14ac:dyDescent="0.3">
      <c r="A6">
        <v>14</v>
      </c>
      <c r="B6">
        <v>1.869354</v>
      </c>
      <c r="C6" t="s">
        <v>9</v>
      </c>
      <c r="D6" t="s">
        <v>8</v>
      </c>
      <c r="E6" t="s">
        <v>10</v>
      </c>
      <c r="F6">
        <v>60</v>
      </c>
      <c r="G6">
        <v>3.7599999999999998E-4</v>
      </c>
      <c r="H6" t="s">
        <v>16</v>
      </c>
      <c r="J6">
        <f t="shared" si="0"/>
        <v>3.9999999999999996E-4</v>
      </c>
    </row>
    <row r="7" spans="1:10" x14ac:dyDescent="0.3">
      <c r="A7">
        <v>15</v>
      </c>
      <c r="B7">
        <v>1.8732690000000001</v>
      </c>
      <c r="C7" t="s">
        <v>9</v>
      </c>
      <c r="D7" t="s">
        <v>8</v>
      </c>
      <c r="E7" t="s">
        <v>14</v>
      </c>
      <c r="F7">
        <v>60</v>
      </c>
      <c r="G7">
        <v>3.9150000000000001E-3</v>
      </c>
      <c r="H7" t="s">
        <v>17</v>
      </c>
      <c r="J7">
        <f t="shared" si="0"/>
        <v>4.0000000000000001E-3</v>
      </c>
    </row>
    <row r="8" spans="1:10" x14ac:dyDescent="0.3">
      <c r="A8">
        <v>16</v>
      </c>
      <c r="B8">
        <v>1.9143889999999999</v>
      </c>
      <c r="C8" t="s">
        <v>8</v>
      </c>
      <c r="D8" t="s">
        <v>9</v>
      </c>
      <c r="E8" t="s">
        <v>14</v>
      </c>
      <c r="F8">
        <v>70</v>
      </c>
      <c r="G8">
        <v>4.1119999999999997E-2</v>
      </c>
      <c r="H8" t="s">
        <v>18</v>
      </c>
      <c r="J8">
        <f t="shared" si="0"/>
        <v>4.1200000000000001E-2</v>
      </c>
    </row>
    <row r="9" spans="1:10" x14ac:dyDescent="0.3">
      <c r="A9">
        <v>17</v>
      </c>
      <c r="B9">
        <v>1.918445</v>
      </c>
      <c r="C9" t="s">
        <v>9</v>
      </c>
      <c r="D9" t="s">
        <v>8</v>
      </c>
      <c r="E9" t="s">
        <v>14</v>
      </c>
      <c r="F9">
        <v>60</v>
      </c>
      <c r="G9">
        <v>4.0559999999999997E-3</v>
      </c>
      <c r="H9" t="s">
        <v>19</v>
      </c>
      <c r="J9">
        <f t="shared" si="0"/>
        <v>4.1000000000000003E-3</v>
      </c>
    </row>
    <row r="10" spans="1:10" x14ac:dyDescent="0.3">
      <c r="A10">
        <v>18</v>
      </c>
      <c r="B10">
        <v>1.96593</v>
      </c>
      <c r="C10" t="s">
        <v>8</v>
      </c>
      <c r="D10" t="s">
        <v>9</v>
      </c>
      <c r="E10" t="s">
        <v>10</v>
      </c>
      <c r="F10">
        <v>54</v>
      </c>
      <c r="G10">
        <v>4.7484999999999999E-2</v>
      </c>
      <c r="H10" t="s">
        <v>20</v>
      </c>
      <c r="J10">
        <f t="shared" si="0"/>
        <v>4.7500000000000001E-2</v>
      </c>
    </row>
    <row r="11" spans="1:10" x14ac:dyDescent="0.3">
      <c r="A11">
        <v>22</v>
      </c>
      <c r="B11">
        <v>3.9386540000000001</v>
      </c>
      <c r="C11" t="s">
        <v>8</v>
      </c>
      <c r="D11" t="s">
        <v>21</v>
      </c>
      <c r="E11" t="s">
        <v>10</v>
      </c>
      <c r="F11">
        <v>66</v>
      </c>
      <c r="G11">
        <v>1.9727239999999999</v>
      </c>
      <c r="H11" t="s">
        <v>22</v>
      </c>
      <c r="J11">
        <f t="shared" si="0"/>
        <v>1.9727999999999999</v>
      </c>
    </row>
    <row r="12" spans="1:10" x14ac:dyDescent="0.3">
      <c r="A12">
        <v>23</v>
      </c>
      <c r="B12">
        <v>3.9493510000000001</v>
      </c>
      <c r="C12" t="s">
        <v>21</v>
      </c>
      <c r="D12" t="s">
        <v>8</v>
      </c>
      <c r="E12" t="s">
        <v>10</v>
      </c>
      <c r="F12">
        <v>60</v>
      </c>
      <c r="G12">
        <v>1.0697E-2</v>
      </c>
      <c r="H12" t="s">
        <v>23</v>
      </c>
      <c r="J12">
        <f t="shared" si="0"/>
        <v>1.0699999999999999E-2</v>
      </c>
    </row>
    <row r="13" spans="1:10" x14ac:dyDescent="0.3">
      <c r="A13">
        <v>24</v>
      </c>
      <c r="B13">
        <v>4.2473530000000004</v>
      </c>
      <c r="C13" t="s">
        <v>8</v>
      </c>
      <c r="D13" t="s">
        <v>9</v>
      </c>
      <c r="E13" t="s">
        <v>14</v>
      </c>
      <c r="F13">
        <v>71</v>
      </c>
      <c r="G13">
        <v>0.29800199999999999</v>
      </c>
      <c r="H13" t="s">
        <v>24</v>
      </c>
      <c r="J13">
        <f t="shared" si="0"/>
        <v>0.29809999999999998</v>
      </c>
    </row>
    <row r="14" spans="1:10" x14ac:dyDescent="0.3">
      <c r="A14">
        <v>25</v>
      </c>
      <c r="B14">
        <v>4.256348</v>
      </c>
      <c r="C14" t="s">
        <v>9</v>
      </c>
      <c r="D14" t="s">
        <v>8</v>
      </c>
      <c r="E14" t="s">
        <v>14</v>
      </c>
      <c r="F14">
        <v>71</v>
      </c>
      <c r="G14">
        <v>8.9949999999999995E-3</v>
      </c>
      <c r="H14" t="s">
        <v>24</v>
      </c>
      <c r="J14">
        <f t="shared" si="0"/>
        <v>8.9999999999999993E-3</v>
      </c>
    </row>
    <row r="15" spans="1:10" x14ac:dyDescent="0.3">
      <c r="A15">
        <v>26</v>
      </c>
      <c r="B15">
        <v>4.3033679999999999</v>
      </c>
      <c r="C15" t="s">
        <v>8</v>
      </c>
      <c r="D15" t="s">
        <v>9</v>
      </c>
      <c r="E15" t="s">
        <v>10</v>
      </c>
      <c r="F15">
        <v>54</v>
      </c>
      <c r="G15">
        <v>4.7019999999999999E-2</v>
      </c>
      <c r="H15" t="s">
        <v>25</v>
      </c>
      <c r="J15">
        <f t="shared" si="0"/>
        <v>4.7100000000000003E-2</v>
      </c>
    </row>
    <row r="16" spans="1:10" x14ac:dyDescent="0.3">
      <c r="A16">
        <v>27</v>
      </c>
      <c r="B16">
        <v>4.4554470000000004</v>
      </c>
      <c r="C16" t="s">
        <v>8</v>
      </c>
      <c r="D16" t="s">
        <v>21</v>
      </c>
      <c r="E16" t="s">
        <v>10</v>
      </c>
      <c r="F16">
        <v>66</v>
      </c>
      <c r="G16">
        <v>0.15207899999999999</v>
      </c>
      <c r="H16" t="s">
        <v>26</v>
      </c>
      <c r="J16">
        <f t="shared" si="0"/>
        <v>0.15209999999999999</v>
      </c>
    </row>
    <row r="17" spans="1:10" x14ac:dyDescent="0.3">
      <c r="A17">
        <v>28</v>
      </c>
      <c r="B17">
        <v>4.5581189999999996</v>
      </c>
      <c r="C17" t="s">
        <v>21</v>
      </c>
      <c r="D17" t="s">
        <v>8</v>
      </c>
      <c r="E17" t="s">
        <v>10</v>
      </c>
      <c r="F17">
        <v>60</v>
      </c>
      <c r="G17">
        <v>0.102672</v>
      </c>
      <c r="H17" t="s">
        <v>23</v>
      </c>
      <c r="J17">
        <f t="shared" si="0"/>
        <v>0.1027</v>
      </c>
    </row>
    <row r="18" spans="1:10" x14ac:dyDescent="0.3">
      <c r="A18">
        <v>29</v>
      </c>
      <c r="B18">
        <v>4.9454000000000002</v>
      </c>
      <c r="C18" t="s">
        <v>9</v>
      </c>
      <c r="D18" t="s">
        <v>8</v>
      </c>
      <c r="E18" t="s">
        <v>14</v>
      </c>
      <c r="F18">
        <v>71</v>
      </c>
      <c r="G18">
        <v>0.38728099999999999</v>
      </c>
      <c r="H18" t="s">
        <v>24</v>
      </c>
      <c r="J18">
        <f t="shared" si="0"/>
        <v>0.38729999999999998</v>
      </c>
    </row>
    <row r="19" spans="1:10" x14ac:dyDescent="0.3">
      <c r="A19">
        <v>30</v>
      </c>
      <c r="B19">
        <v>4.9899529999999999</v>
      </c>
      <c r="C19" t="s">
        <v>8</v>
      </c>
      <c r="D19" t="s">
        <v>9</v>
      </c>
      <c r="E19" t="s">
        <v>10</v>
      </c>
      <c r="F19">
        <v>54</v>
      </c>
      <c r="G19">
        <v>4.4553000000000002E-2</v>
      </c>
      <c r="H19" t="s">
        <v>27</v>
      </c>
      <c r="J19">
        <f t="shared" si="0"/>
        <v>4.4600000000000001E-2</v>
      </c>
    </row>
    <row r="20" spans="1:10" x14ac:dyDescent="0.3">
      <c r="A20">
        <v>33</v>
      </c>
      <c r="B20">
        <v>5.0665719999999999</v>
      </c>
      <c r="C20" t="s">
        <v>8</v>
      </c>
      <c r="D20" t="s">
        <v>21</v>
      </c>
      <c r="E20" t="s">
        <v>10</v>
      </c>
      <c r="F20">
        <v>66</v>
      </c>
      <c r="G20">
        <v>7.6619000000000007E-2</v>
      </c>
      <c r="H20" t="s">
        <v>26</v>
      </c>
      <c r="J20">
        <f t="shared" si="0"/>
        <v>7.6700000000000004E-2</v>
      </c>
    </row>
    <row r="21" spans="1:10" x14ac:dyDescent="0.3">
      <c r="A21">
        <v>35</v>
      </c>
      <c r="B21">
        <v>5.1747389999999998</v>
      </c>
      <c r="C21" t="s">
        <v>21</v>
      </c>
      <c r="D21" t="s">
        <v>8</v>
      </c>
      <c r="E21" t="s">
        <v>10</v>
      </c>
      <c r="F21">
        <v>60</v>
      </c>
      <c r="G21">
        <v>0.108167</v>
      </c>
      <c r="H21" t="s">
        <v>23</v>
      </c>
      <c r="J21">
        <f t="shared" si="0"/>
        <v>0.1082</v>
      </c>
    </row>
    <row r="22" spans="1:10" x14ac:dyDescent="0.3">
      <c r="A22">
        <v>36</v>
      </c>
      <c r="B22">
        <v>5.585604</v>
      </c>
      <c r="C22" t="s">
        <v>8</v>
      </c>
      <c r="D22" t="s">
        <v>9</v>
      </c>
      <c r="E22" t="s">
        <v>14</v>
      </c>
      <c r="F22">
        <v>71</v>
      </c>
      <c r="G22">
        <v>0.41086499999999998</v>
      </c>
      <c r="H22" t="s">
        <v>24</v>
      </c>
      <c r="J22">
        <f t="shared" si="0"/>
        <v>0.41089999999999999</v>
      </c>
    </row>
    <row r="23" spans="1:10" x14ac:dyDescent="0.3">
      <c r="A23">
        <v>37</v>
      </c>
      <c r="B23">
        <v>5.5919140000000001</v>
      </c>
      <c r="C23" t="s">
        <v>9</v>
      </c>
      <c r="D23" t="s">
        <v>8</v>
      </c>
      <c r="E23" t="s">
        <v>14</v>
      </c>
      <c r="F23">
        <v>71</v>
      </c>
      <c r="G23">
        <v>6.3099999999999996E-3</v>
      </c>
      <c r="H23" t="s">
        <v>24</v>
      </c>
      <c r="J23">
        <f t="shared" si="0"/>
        <v>6.4000000000000003E-3</v>
      </c>
    </row>
    <row r="24" spans="1:10" x14ac:dyDescent="0.3">
      <c r="A24">
        <v>38</v>
      </c>
      <c r="B24">
        <v>5.6425900000000002</v>
      </c>
      <c r="C24" t="s">
        <v>8</v>
      </c>
      <c r="D24" t="s">
        <v>9</v>
      </c>
      <c r="E24" t="s">
        <v>10</v>
      </c>
      <c r="F24">
        <v>54</v>
      </c>
      <c r="G24">
        <v>5.0675999999999999E-2</v>
      </c>
      <c r="H24" t="s">
        <v>28</v>
      </c>
      <c r="J24">
        <f t="shared" si="0"/>
        <v>5.0700000000000002E-2</v>
      </c>
    </row>
    <row r="25" spans="1:10" x14ac:dyDescent="0.3">
      <c r="A25">
        <v>39</v>
      </c>
      <c r="B25">
        <v>5.6886419999999998</v>
      </c>
      <c r="C25" t="s">
        <v>8</v>
      </c>
      <c r="D25" t="s">
        <v>21</v>
      </c>
      <c r="E25" t="s">
        <v>10</v>
      </c>
      <c r="F25">
        <v>66</v>
      </c>
      <c r="G25">
        <v>4.6052000000000003E-2</v>
      </c>
      <c r="H25" t="s">
        <v>26</v>
      </c>
      <c r="J25">
        <f t="shared" si="0"/>
        <v>4.6100000000000002E-2</v>
      </c>
    </row>
    <row r="26" spans="1:10" x14ac:dyDescent="0.3">
      <c r="A26">
        <v>40</v>
      </c>
      <c r="B26">
        <v>5.7894740000000002</v>
      </c>
      <c r="C26" t="s">
        <v>21</v>
      </c>
      <c r="D26" t="s">
        <v>8</v>
      </c>
      <c r="E26" t="s">
        <v>10</v>
      </c>
      <c r="F26">
        <v>60</v>
      </c>
      <c r="G26">
        <v>0.100832</v>
      </c>
      <c r="H26" t="s">
        <v>23</v>
      </c>
      <c r="J26">
        <f t="shared" si="0"/>
        <v>0.1009</v>
      </c>
    </row>
    <row r="27" spans="1:10" x14ac:dyDescent="0.3">
      <c r="A27">
        <v>41</v>
      </c>
      <c r="B27">
        <v>6.2963760000000004</v>
      </c>
      <c r="C27" t="s">
        <v>8</v>
      </c>
      <c r="D27" t="s">
        <v>21</v>
      </c>
      <c r="E27" t="s">
        <v>10</v>
      </c>
      <c r="F27">
        <v>66</v>
      </c>
      <c r="G27">
        <v>0.50690199999999996</v>
      </c>
      <c r="H27" t="s">
        <v>26</v>
      </c>
      <c r="J27">
        <f t="shared" si="0"/>
        <v>0.50700000000000001</v>
      </c>
    </row>
    <row r="28" spans="1:10" x14ac:dyDescent="0.3">
      <c r="A28">
        <v>42</v>
      </c>
      <c r="B28">
        <v>6.4032809999999998</v>
      </c>
      <c r="C28" t="s">
        <v>21</v>
      </c>
      <c r="D28" t="s">
        <v>8</v>
      </c>
      <c r="E28" t="s">
        <v>10</v>
      </c>
      <c r="F28">
        <v>60</v>
      </c>
      <c r="G28">
        <v>0.106905</v>
      </c>
      <c r="H28" t="s">
        <v>23</v>
      </c>
      <c r="J28">
        <f t="shared" si="0"/>
        <v>0.107</v>
      </c>
    </row>
    <row r="29" spans="1:10" x14ac:dyDescent="0.3">
      <c r="A29">
        <v>49</v>
      </c>
      <c r="B29">
        <v>6.9516689999999999</v>
      </c>
      <c r="C29" t="s">
        <v>9</v>
      </c>
      <c r="D29" t="s">
        <v>8</v>
      </c>
      <c r="E29" t="s">
        <v>14</v>
      </c>
      <c r="F29">
        <v>71</v>
      </c>
      <c r="G29">
        <v>0.54838799999999999</v>
      </c>
      <c r="H29" t="s">
        <v>24</v>
      </c>
      <c r="J29">
        <f t="shared" si="0"/>
        <v>0.5484</v>
      </c>
    </row>
    <row r="30" spans="1:10" x14ac:dyDescent="0.3">
      <c r="A30">
        <v>50</v>
      </c>
      <c r="B30">
        <v>7.0007520000000003</v>
      </c>
      <c r="C30" t="s">
        <v>8</v>
      </c>
      <c r="D30" t="s">
        <v>9</v>
      </c>
      <c r="E30" t="s">
        <v>10</v>
      </c>
      <c r="F30">
        <v>54</v>
      </c>
      <c r="G30">
        <v>4.9083000000000002E-2</v>
      </c>
      <c r="H30" t="s">
        <v>29</v>
      </c>
      <c r="J30">
        <f t="shared" si="0"/>
        <v>4.9100000000000005E-2</v>
      </c>
    </row>
    <row r="31" spans="1:10" x14ac:dyDescent="0.3">
      <c r="A31">
        <v>58</v>
      </c>
      <c r="B31">
        <v>7.5054049999999997</v>
      </c>
      <c r="C31" t="s">
        <v>8</v>
      </c>
      <c r="D31" t="s">
        <v>9</v>
      </c>
      <c r="E31" t="s">
        <v>14</v>
      </c>
      <c r="F31">
        <v>71</v>
      </c>
      <c r="G31">
        <v>0.50465300000000002</v>
      </c>
      <c r="H31" t="s">
        <v>24</v>
      </c>
      <c r="J31">
        <f t="shared" si="0"/>
        <v>0.50470000000000004</v>
      </c>
    </row>
    <row r="32" spans="1:10" x14ac:dyDescent="0.3">
      <c r="A32">
        <v>59</v>
      </c>
      <c r="B32">
        <v>7.5105760000000004</v>
      </c>
      <c r="C32" t="s">
        <v>9</v>
      </c>
      <c r="D32" t="s">
        <v>8</v>
      </c>
      <c r="E32" t="s">
        <v>14</v>
      </c>
      <c r="F32">
        <v>71</v>
      </c>
      <c r="G32">
        <v>5.1710000000000002E-3</v>
      </c>
      <c r="H32" t="s">
        <v>24</v>
      </c>
      <c r="J32">
        <f t="shared" si="0"/>
        <v>5.2000000000000006E-3</v>
      </c>
    </row>
    <row r="33" spans="1:10" x14ac:dyDescent="0.3">
      <c r="A33">
        <v>60</v>
      </c>
      <c r="B33">
        <v>7.559488</v>
      </c>
      <c r="C33" t="s">
        <v>8</v>
      </c>
      <c r="D33" t="s">
        <v>9</v>
      </c>
      <c r="E33" t="s">
        <v>10</v>
      </c>
      <c r="F33">
        <v>54</v>
      </c>
      <c r="G33">
        <v>4.8911999999999997E-2</v>
      </c>
      <c r="H33" t="s">
        <v>30</v>
      </c>
      <c r="J33">
        <f t="shared" si="0"/>
        <v>4.9000000000000002E-2</v>
      </c>
    </row>
    <row r="34" spans="1:10" x14ac:dyDescent="0.3">
      <c r="A34">
        <v>61</v>
      </c>
      <c r="B34">
        <v>8.1738339999999994</v>
      </c>
      <c r="C34" t="s">
        <v>9</v>
      </c>
      <c r="D34" t="s">
        <v>8</v>
      </c>
      <c r="E34" t="s">
        <v>14</v>
      </c>
      <c r="F34">
        <v>71</v>
      </c>
      <c r="G34">
        <v>0.61434599999999995</v>
      </c>
      <c r="H34" t="s">
        <v>24</v>
      </c>
      <c r="J34">
        <f t="shared" si="0"/>
        <v>0.61439999999999995</v>
      </c>
    </row>
    <row r="35" spans="1:10" x14ac:dyDescent="0.3">
      <c r="A35">
        <v>62</v>
      </c>
      <c r="B35">
        <v>8.2269369999999995</v>
      </c>
      <c r="C35" t="s">
        <v>8</v>
      </c>
      <c r="D35" t="s">
        <v>9</v>
      </c>
      <c r="E35" t="s">
        <v>10</v>
      </c>
      <c r="F35">
        <v>54</v>
      </c>
      <c r="G35">
        <v>5.3102999999999997E-2</v>
      </c>
      <c r="H35" t="s">
        <v>31</v>
      </c>
      <c r="J35">
        <f t="shared" si="0"/>
        <v>5.3200000000000004E-2</v>
      </c>
    </row>
    <row r="36" spans="1:10" x14ac:dyDescent="0.3">
      <c r="A36">
        <v>63</v>
      </c>
      <c r="B36">
        <v>8.7119750000000007</v>
      </c>
      <c r="C36" t="s">
        <v>8</v>
      </c>
      <c r="D36" t="s">
        <v>9</v>
      </c>
      <c r="E36" t="s">
        <v>14</v>
      </c>
      <c r="F36">
        <v>71</v>
      </c>
      <c r="G36">
        <v>0.48503800000000002</v>
      </c>
      <c r="H36" t="s">
        <v>24</v>
      </c>
      <c r="J36">
        <f t="shared" si="0"/>
        <v>0.48509999999999998</v>
      </c>
    </row>
    <row r="37" spans="1:10" x14ac:dyDescent="0.3">
      <c r="A37">
        <v>64</v>
      </c>
      <c r="B37">
        <v>8.7171000000000003</v>
      </c>
      <c r="C37" t="s">
        <v>9</v>
      </c>
      <c r="D37" t="s">
        <v>8</v>
      </c>
      <c r="E37" t="s">
        <v>14</v>
      </c>
      <c r="F37">
        <v>71</v>
      </c>
      <c r="G37">
        <v>5.1250000000000002E-3</v>
      </c>
      <c r="H37" t="s">
        <v>24</v>
      </c>
      <c r="J37">
        <f t="shared" si="0"/>
        <v>5.2000000000000006E-3</v>
      </c>
    </row>
    <row r="38" spans="1:10" x14ac:dyDescent="0.3">
      <c r="A38">
        <v>65</v>
      </c>
      <c r="B38">
        <v>8.7687279999999994</v>
      </c>
      <c r="C38" t="s">
        <v>8</v>
      </c>
      <c r="D38" t="s">
        <v>9</v>
      </c>
      <c r="E38" t="s">
        <v>10</v>
      </c>
      <c r="F38">
        <v>54</v>
      </c>
      <c r="G38">
        <v>5.1628E-2</v>
      </c>
      <c r="H38" t="s">
        <v>32</v>
      </c>
      <c r="J38">
        <f t="shared" si="0"/>
        <v>5.1700000000000003E-2</v>
      </c>
    </row>
    <row r="39" spans="1:10" x14ac:dyDescent="0.3">
      <c r="A39">
        <v>67</v>
      </c>
      <c r="B39">
        <v>9.3712160000000004</v>
      </c>
      <c r="C39" t="s">
        <v>9</v>
      </c>
      <c r="D39" t="s">
        <v>8</v>
      </c>
      <c r="E39" t="s">
        <v>14</v>
      </c>
      <c r="F39">
        <v>71</v>
      </c>
      <c r="G39">
        <v>0.60248800000000002</v>
      </c>
      <c r="H39" t="s">
        <v>24</v>
      </c>
      <c r="J39">
        <f t="shared" si="0"/>
        <v>0.60250000000000004</v>
      </c>
    </row>
    <row r="40" spans="1:10" x14ac:dyDescent="0.3">
      <c r="A40">
        <v>68</v>
      </c>
      <c r="B40">
        <v>9.4257779999999993</v>
      </c>
      <c r="C40" t="s">
        <v>8</v>
      </c>
      <c r="D40" t="s">
        <v>9</v>
      </c>
      <c r="E40" t="s">
        <v>10</v>
      </c>
      <c r="F40">
        <v>54</v>
      </c>
      <c r="G40">
        <v>5.4561999999999999E-2</v>
      </c>
      <c r="H40" t="s">
        <v>33</v>
      </c>
      <c r="J40">
        <f t="shared" si="0"/>
        <v>5.4600000000000003E-2</v>
      </c>
    </row>
    <row r="41" spans="1:10" x14ac:dyDescent="0.3">
      <c r="A41">
        <v>75</v>
      </c>
      <c r="B41">
        <v>10.007035999999999</v>
      </c>
      <c r="C41" t="s">
        <v>8</v>
      </c>
      <c r="D41" t="s">
        <v>9</v>
      </c>
      <c r="E41" t="s">
        <v>14</v>
      </c>
      <c r="F41">
        <v>71</v>
      </c>
      <c r="G41">
        <v>0.58125800000000005</v>
      </c>
      <c r="H41" t="s">
        <v>24</v>
      </c>
      <c r="J41">
        <f t="shared" si="0"/>
        <v>0.58130000000000004</v>
      </c>
    </row>
    <row r="42" spans="1:10" x14ac:dyDescent="0.3">
      <c r="A42">
        <v>76</v>
      </c>
      <c r="B42">
        <v>10.011734000000001</v>
      </c>
      <c r="C42" t="s">
        <v>9</v>
      </c>
      <c r="D42" t="s">
        <v>8</v>
      </c>
      <c r="E42" t="s">
        <v>14</v>
      </c>
      <c r="F42">
        <v>71</v>
      </c>
      <c r="G42">
        <v>4.6979999999999999E-3</v>
      </c>
      <c r="H42" t="s">
        <v>24</v>
      </c>
      <c r="J42">
        <f t="shared" si="0"/>
        <v>4.7000000000000002E-3</v>
      </c>
    </row>
    <row r="43" spans="1:10" x14ac:dyDescent="0.3">
      <c r="A43">
        <v>77</v>
      </c>
      <c r="B43">
        <v>10.063364999999999</v>
      </c>
      <c r="C43" t="s">
        <v>8</v>
      </c>
      <c r="D43" t="s">
        <v>9</v>
      </c>
      <c r="E43" t="s">
        <v>10</v>
      </c>
      <c r="F43">
        <v>54</v>
      </c>
      <c r="G43">
        <v>5.1631000000000003E-2</v>
      </c>
      <c r="H43" t="s">
        <v>34</v>
      </c>
      <c r="J43">
        <f t="shared" si="0"/>
        <v>5.1700000000000003E-2</v>
      </c>
    </row>
    <row r="44" spans="1:10" x14ac:dyDescent="0.3">
      <c r="A44">
        <v>78</v>
      </c>
      <c r="B44">
        <v>10.554748</v>
      </c>
      <c r="C44" t="s">
        <v>9</v>
      </c>
      <c r="D44" t="s">
        <v>8</v>
      </c>
      <c r="E44" t="s">
        <v>14</v>
      </c>
      <c r="F44">
        <v>71</v>
      </c>
      <c r="G44">
        <v>0.49138300000000001</v>
      </c>
      <c r="H44" t="s">
        <v>24</v>
      </c>
      <c r="J44">
        <f t="shared" si="0"/>
        <v>0.4914</v>
      </c>
    </row>
    <row r="45" spans="1:10" x14ac:dyDescent="0.3">
      <c r="A45">
        <v>79</v>
      </c>
      <c r="B45">
        <v>10.609158000000001</v>
      </c>
      <c r="C45" t="s">
        <v>8</v>
      </c>
      <c r="D45" t="s">
        <v>9</v>
      </c>
      <c r="E45" t="s">
        <v>10</v>
      </c>
      <c r="F45">
        <v>54</v>
      </c>
      <c r="G45">
        <v>5.441E-2</v>
      </c>
      <c r="H45" t="s">
        <v>35</v>
      </c>
      <c r="J45">
        <f t="shared" si="0"/>
        <v>5.45E-2</v>
      </c>
    </row>
    <row r="46" spans="1:10" x14ac:dyDescent="0.3">
      <c r="A46">
        <v>81</v>
      </c>
      <c r="B46">
        <v>11.139964000000001</v>
      </c>
      <c r="C46" t="s">
        <v>8</v>
      </c>
      <c r="D46" t="s">
        <v>9</v>
      </c>
      <c r="E46" t="s">
        <v>14</v>
      </c>
      <c r="F46">
        <v>71</v>
      </c>
      <c r="G46">
        <v>0.530806</v>
      </c>
      <c r="H46" t="s">
        <v>24</v>
      </c>
      <c r="J46">
        <f t="shared" si="0"/>
        <v>0.53090000000000004</v>
      </c>
    </row>
    <row r="47" spans="1:10" x14ac:dyDescent="0.3">
      <c r="A47">
        <v>82</v>
      </c>
      <c r="B47">
        <v>11.144508</v>
      </c>
      <c r="C47" t="s">
        <v>9</v>
      </c>
      <c r="D47" t="s">
        <v>8</v>
      </c>
      <c r="E47" t="s">
        <v>14</v>
      </c>
      <c r="F47">
        <v>71</v>
      </c>
      <c r="G47">
        <v>4.5440000000000003E-3</v>
      </c>
      <c r="H47" t="s">
        <v>24</v>
      </c>
      <c r="J47">
        <f t="shared" si="0"/>
        <v>4.5999999999999999E-3</v>
      </c>
    </row>
    <row r="48" spans="1:10" x14ac:dyDescent="0.3">
      <c r="A48">
        <v>83</v>
      </c>
      <c r="B48">
        <v>11.199593</v>
      </c>
      <c r="C48" t="s">
        <v>8</v>
      </c>
      <c r="D48" t="s">
        <v>9</v>
      </c>
      <c r="E48" t="s">
        <v>10</v>
      </c>
      <c r="F48">
        <v>54</v>
      </c>
      <c r="G48">
        <v>5.5085000000000002E-2</v>
      </c>
      <c r="H48" t="s">
        <v>36</v>
      </c>
      <c r="J48">
        <f t="shared" si="0"/>
        <v>5.5100000000000003E-2</v>
      </c>
    </row>
    <row r="49" spans="1:10" x14ac:dyDescent="0.3">
      <c r="A49">
        <v>84</v>
      </c>
      <c r="B49">
        <v>11.718016</v>
      </c>
      <c r="C49" t="s">
        <v>9</v>
      </c>
      <c r="D49" t="s">
        <v>8</v>
      </c>
      <c r="E49" t="s">
        <v>14</v>
      </c>
      <c r="F49">
        <v>71</v>
      </c>
      <c r="G49">
        <v>0.51842299999999997</v>
      </c>
      <c r="H49" t="s">
        <v>24</v>
      </c>
      <c r="J49">
        <f t="shared" si="0"/>
        <v>0.51849999999999996</v>
      </c>
    </row>
    <row r="50" spans="1:10" x14ac:dyDescent="0.3">
      <c r="A50">
        <v>85</v>
      </c>
      <c r="B50">
        <v>11.758433</v>
      </c>
      <c r="C50" t="s">
        <v>8</v>
      </c>
      <c r="D50" t="s">
        <v>9</v>
      </c>
      <c r="E50" t="s">
        <v>10</v>
      </c>
      <c r="F50">
        <v>54</v>
      </c>
      <c r="G50">
        <v>4.0417000000000002E-2</v>
      </c>
      <c r="H50" t="s">
        <v>37</v>
      </c>
      <c r="J50">
        <f t="shared" si="0"/>
        <v>4.0500000000000001E-2</v>
      </c>
    </row>
    <row r="51" spans="1:10" x14ac:dyDescent="0.3">
      <c r="A51">
        <v>86</v>
      </c>
      <c r="B51">
        <v>12.291086</v>
      </c>
      <c r="C51" t="s">
        <v>8</v>
      </c>
      <c r="D51" t="s">
        <v>9</v>
      </c>
      <c r="E51" t="s">
        <v>14</v>
      </c>
      <c r="F51">
        <v>71</v>
      </c>
      <c r="G51">
        <v>0.53265300000000004</v>
      </c>
      <c r="H51" t="s">
        <v>24</v>
      </c>
      <c r="J51">
        <f t="shared" si="0"/>
        <v>0.53269999999999995</v>
      </c>
    </row>
    <row r="52" spans="1:10" x14ac:dyDescent="0.3">
      <c r="A52">
        <v>87</v>
      </c>
      <c r="B52">
        <v>12.295302</v>
      </c>
      <c r="C52" t="s">
        <v>9</v>
      </c>
      <c r="D52" t="s">
        <v>8</v>
      </c>
      <c r="E52" t="s">
        <v>14</v>
      </c>
      <c r="F52">
        <v>71</v>
      </c>
      <c r="G52">
        <v>4.2160000000000001E-3</v>
      </c>
      <c r="H52" t="s">
        <v>24</v>
      </c>
      <c r="J52">
        <f t="shared" si="0"/>
        <v>4.3E-3</v>
      </c>
    </row>
    <row r="53" spans="1:10" x14ac:dyDescent="0.3">
      <c r="A53">
        <v>88</v>
      </c>
      <c r="B53">
        <v>12.34646</v>
      </c>
      <c r="C53" t="s">
        <v>8</v>
      </c>
      <c r="D53" t="s">
        <v>9</v>
      </c>
      <c r="E53" t="s">
        <v>10</v>
      </c>
      <c r="F53">
        <v>54</v>
      </c>
      <c r="G53">
        <v>5.1158000000000002E-2</v>
      </c>
      <c r="H53" t="s">
        <v>38</v>
      </c>
      <c r="J53">
        <f t="shared" si="0"/>
        <v>5.1200000000000002E-2</v>
      </c>
    </row>
    <row r="54" spans="1:10" x14ac:dyDescent="0.3">
      <c r="A54">
        <v>89</v>
      </c>
      <c r="B54">
        <v>12.844412</v>
      </c>
      <c r="C54" t="s">
        <v>9</v>
      </c>
      <c r="D54" t="s">
        <v>8</v>
      </c>
      <c r="E54" t="s">
        <v>14</v>
      </c>
      <c r="F54">
        <v>71</v>
      </c>
      <c r="G54">
        <v>0.49795200000000001</v>
      </c>
      <c r="H54" t="s">
        <v>24</v>
      </c>
      <c r="J54">
        <f t="shared" si="0"/>
        <v>0.498</v>
      </c>
    </row>
    <row r="55" spans="1:10" x14ac:dyDescent="0.3">
      <c r="A55">
        <v>90</v>
      </c>
      <c r="B55">
        <v>12.890491000000001</v>
      </c>
      <c r="C55" t="s">
        <v>8</v>
      </c>
      <c r="D55" t="s">
        <v>9</v>
      </c>
      <c r="E55" t="s">
        <v>10</v>
      </c>
      <c r="F55">
        <v>54</v>
      </c>
      <c r="G55">
        <v>4.6079000000000002E-2</v>
      </c>
      <c r="H55" t="s">
        <v>39</v>
      </c>
      <c r="J55">
        <f t="shared" si="0"/>
        <v>4.6100000000000002E-2</v>
      </c>
    </row>
    <row r="56" spans="1:10" x14ac:dyDescent="0.3">
      <c r="A56">
        <v>92</v>
      </c>
      <c r="B56">
        <v>13.377615</v>
      </c>
      <c r="C56" t="s">
        <v>8</v>
      </c>
      <c r="D56" t="s">
        <v>9</v>
      </c>
      <c r="E56" t="s">
        <v>14</v>
      </c>
      <c r="F56">
        <v>71</v>
      </c>
      <c r="G56">
        <v>0.487124</v>
      </c>
      <c r="H56" t="s">
        <v>24</v>
      </c>
      <c r="J56">
        <f t="shared" si="0"/>
        <v>0.48719999999999997</v>
      </c>
    </row>
    <row r="57" spans="1:10" x14ac:dyDescent="0.3">
      <c r="A57">
        <v>93</v>
      </c>
      <c r="B57">
        <v>13.382515</v>
      </c>
      <c r="C57" t="s">
        <v>9</v>
      </c>
      <c r="D57" t="s">
        <v>8</v>
      </c>
      <c r="E57" t="s">
        <v>14</v>
      </c>
      <c r="F57">
        <v>71</v>
      </c>
      <c r="G57">
        <v>4.8999999999999998E-3</v>
      </c>
      <c r="H57" t="s">
        <v>24</v>
      </c>
      <c r="J57">
        <f t="shared" si="0"/>
        <v>4.8999999999999998E-3</v>
      </c>
    </row>
    <row r="58" spans="1:10" x14ac:dyDescent="0.3">
      <c r="A58">
        <v>94</v>
      </c>
      <c r="B58">
        <v>13.436779</v>
      </c>
      <c r="C58" t="s">
        <v>8</v>
      </c>
      <c r="D58" t="s">
        <v>9</v>
      </c>
      <c r="E58" t="s">
        <v>10</v>
      </c>
      <c r="F58">
        <v>54</v>
      </c>
      <c r="G58">
        <v>5.4264E-2</v>
      </c>
      <c r="H58" t="s">
        <v>40</v>
      </c>
      <c r="J58">
        <f t="shared" si="0"/>
        <v>5.4300000000000001E-2</v>
      </c>
    </row>
    <row r="59" spans="1:10" x14ac:dyDescent="0.3">
      <c r="A59">
        <v>99</v>
      </c>
      <c r="B59">
        <v>13.917456</v>
      </c>
      <c r="C59" t="s">
        <v>9</v>
      </c>
      <c r="D59" t="s">
        <v>8</v>
      </c>
      <c r="E59" t="s">
        <v>14</v>
      </c>
      <c r="F59">
        <v>71</v>
      </c>
      <c r="G59">
        <v>0.48067700000000002</v>
      </c>
      <c r="H59" t="s">
        <v>24</v>
      </c>
      <c r="J59">
        <f t="shared" si="0"/>
        <v>0.48070000000000002</v>
      </c>
    </row>
    <row r="60" spans="1:10" x14ac:dyDescent="0.3">
      <c r="A60">
        <v>100</v>
      </c>
      <c r="B60">
        <v>13.966787</v>
      </c>
      <c r="C60" t="s">
        <v>8</v>
      </c>
      <c r="D60" t="s">
        <v>9</v>
      </c>
      <c r="E60" t="s">
        <v>10</v>
      </c>
      <c r="F60">
        <v>54</v>
      </c>
      <c r="G60">
        <v>4.9331E-2</v>
      </c>
      <c r="H60" t="s">
        <v>41</v>
      </c>
      <c r="J60">
        <f t="shared" si="0"/>
        <v>4.9399999999999999E-2</v>
      </c>
    </row>
    <row r="61" spans="1:10" x14ac:dyDescent="0.3">
      <c r="A61">
        <v>101</v>
      </c>
      <c r="B61">
        <v>14.550874</v>
      </c>
      <c r="C61" t="s">
        <v>8</v>
      </c>
      <c r="D61" t="s">
        <v>9</v>
      </c>
      <c r="E61" t="s">
        <v>14</v>
      </c>
      <c r="F61">
        <v>71</v>
      </c>
      <c r="G61">
        <v>0.58408700000000002</v>
      </c>
      <c r="H61" t="s">
        <v>24</v>
      </c>
      <c r="J61">
        <f t="shared" si="0"/>
        <v>0.58409999999999995</v>
      </c>
    </row>
    <row r="62" spans="1:10" x14ac:dyDescent="0.3">
      <c r="A62">
        <v>102</v>
      </c>
      <c r="B62">
        <v>14.555557</v>
      </c>
      <c r="C62" t="s">
        <v>9</v>
      </c>
      <c r="D62" t="s">
        <v>8</v>
      </c>
      <c r="E62" t="s">
        <v>14</v>
      </c>
      <c r="F62">
        <v>71</v>
      </c>
      <c r="G62">
        <v>4.6829999999999997E-3</v>
      </c>
      <c r="H62" t="s">
        <v>24</v>
      </c>
      <c r="J62">
        <f t="shared" si="0"/>
        <v>4.7000000000000002E-3</v>
      </c>
    </row>
    <row r="63" spans="1:10" x14ac:dyDescent="0.3">
      <c r="A63">
        <v>103</v>
      </c>
      <c r="B63">
        <v>14.606844000000001</v>
      </c>
      <c r="C63" t="s">
        <v>8</v>
      </c>
      <c r="D63" t="s">
        <v>9</v>
      </c>
      <c r="E63" t="s">
        <v>10</v>
      </c>
      <c r="F63">
        <v>54</v>
      </c>
      <c r="G63">
        <v>5.1286999999999999E-2</v>
      </c>
      <c r="H63" t="s">
        <v>42</v>
      </c>
      <c r="J63">
        <f t="shared" si="0"/>
        <v>5.1300000000000005E-2</v>
      </c>
    </row>
    <row r="64" spans="1:10" x14ac:dyDescent="0.3">
      <c r="A64">
        <v>105</v>
      </c>
      <c r="B64">
        <v>15.132265</v>
      </c>
      <c r="C64" t="s">
        <v>9</v>
      </c>
      <c r="D64" t="s">
        <v>8</v>
      </c>
      <c r="E64" t="s">
        <v>14</v>
      </c>
      <c r="F64">
        <v>71</v>
      </c>
      <c r="G64">
        <v>0.52542100000000003</v>
      </c>
      <c r="H64" t="s">
        <v>24</v>
      </c>
      <c r="J64">
        <f t="shared" si="0"/>
        <v>0.52549999999999997</v>
      </c>
    </row>
    <row r="65" spans="1:10" x14ac:dyDescent="0.3">
      <c r="A65">
        <v>106</v>
      </c>
      <c r="B65">
        <v>15.186688</v>
      </c>
      <c r="C65" t="s">
        <v>8</v>
      </c>
      <c r="D65" t="s">
        <v>9</v>
      </c>
      <c r="E65" t="s">
        <v>10</v>
      </c>
      <c r="F65">
        <v>54</v>
      </c>
      <c r="G65">
        <v>5.4422999999999999E-2</v>
      </c>
      <c r="H65" t="s">
        <v>43</v>
      </c>
      <c r="J65">
        <f t="shared" si="0"/>
        <v>5.45E-2</v>
      </c>
    </row>
    <row r="66" spans="1:10" x14ac:dyDescent="0.3">
      <c r="A66">
        <v>107</v>
      </c>
      <c r="B66">
        <v>15.691523</v>
      </c>
      <c r="C66" t="s">
        <v>8</v>
      </c>
      <c r="D66" t="s">
        <v>9</v>
      </c>
      <c r="E66" t="s">
        <v>14</v>
      </c>
      <c r="F66">
        <v>71</v>
      </c>
      <c r="G66">
        <v>0.50483500000000003</v>
      </c>
      <c r="H66" t="s">
        <v>24</v>
      </c>
      <c r="J66">
        <f t="shared" si="0"/>
        <v>0.50490000000000002</v>
      </c>
    </row>
    <row r="67" spans="1:10" x14ac:dyDescent="0.3">
      <c r="A67">
        <v>108</v>
      </c>
      <c r="B67">
        <v>15.695791</v>
      </c>
      <c r="C67" t="s">
        <v>9</v>
      </c>
      <c r="D67" t="s">
        <v>8</v>
      </c>
      <c r="E67" t="s">
        <v>14</v>
      </c>
      <c r="F67">
        <v>71</v>
      </c>
      <c r="G67">
        <v>4.2680000000000001E-3</v>
      </c>
      <c r="H67" t="s">
        <v>24</v>
      </c>
      <c r="J67">
        <f t="shared" si="0"/>
        <v>4.3E-3</v>
      </c>
    </row>
    <row r="68" spans="1:10" x14ac:dyDescent="0.3">
      <c r="A68">
        <v>109</v>
      </c>
      <c r="B68">
        <v>15.748193000000001</v>
      </c>
      <c r="C68" t="s">
        <v>8</v>
      </c>
      <c r="D68" t="s">
        <v>9</v>
      </c>
      <c r="E68" t="s">
        <v>10</v>
      </c>
      <c r="F68">
        <v>54</v>
      </c>
      <c r="G68">
        <v>5.2401999999999997E-2</v>
      </c>
      <c r="H68" t="s">
        <v>44</v>
      </c>
      <c r="J68">
        <f t="shared" ref="J68:J131" si="1">ROUNDUP(G68,4)</f>
        <v>5.2500000000000005E-2</v>
      </c>
    </row>
    <row r="69" spans="1:10" x14ac:dyDescent="0.3">
      <c r="A69">
        <v>110</v>
      </c>
      <c r="B69">
        <v>16.340257999999999</v>
      </c>
      <c r="C69" t="s">
        <v>9</v>
      </c>
      <c r="D69" t="s">
        <v>8</v>
      </c>
      <c r="E69" t="s">
        <v>14</v>
      </c>
      <c r="F69">
        <v>71</v>
      </c>
      <c r="G69">
        <v>0.59206499999999995</v>
      </c>
      <c r="H69" t="s">
        <v>24</v>
      </c>
      <c r="J69">
        <f t="shared" si="1"/>
        <v>0.59209999999999996</v>
      </c>
    </row>
    <row r="70" spans="1:10" x14ac:dyDescent="0.3">
      <c r="A70">
        <v>111</v>
      </c>
      <c r="B70">
        <v>16.388743999999999</v>
      </c>
      <c r="C70" t="s">
        <v>8</v>
      </c>
      <c r="D70" t="s">
        <v>9</v>
      </c>
      <c r="E70" t="s">
        <v>10</v>
      </c>
      <c r="F70">
        <v>54</v>
      </c>
      <c r="G70">
        <v>4.8486000000000001E-2</v>
      </c>
      <c r="H70" t="s">
        <v>45</v>
      </c>
      <c r="J70">
        <f t="shared" si="1"/>
        <v>4.8500000000000001E-2</v>
      </c>
    </row>
    <row r="71" spans="1:10" x14ac:dyDescent="0.3">
      <c r="A71">
        <v>112</v>
      </c>
      <c r="B71">
        <v>16.436449</v>
      </c>
      <c r="C71" t="s">
        <v>8</v>
      </c>
      <c r="D71" t="s">
        <v>21</v>
      </c>
      <c r="E71" t="s">
        <v>10</v>
      </c>
      <c r="F71">
        <v>66</v>
      </c>
      <c r="G71">
        <v>4.7704999999999997E-2</v>
      </c>
      <c r="H71" t="s">
        <v>46</v>
      </c>
      <c r="J71">
        <f t="shared" si="1"/>
        <v>4.7800000000000002E-2</v>
      </c>
    </row>
    <row r="72" spans="1:10" x14ac:dyDescent="0.3">
      <c r="A72">
        <v>113</v>
      </c>
      <c r="B72">
        <v>16.439858999999998</v>
      </c>
      <c r="C72" t="s">
        <v>21</v>
      </c>
      <c r="D72" t="s">
        <v>8</v>
      </c>
      <c r="E72" t="s">
        <v>10</v>
      </c>
      <c r="F72">
        <v>60</v>
      </c>
      <c r="G72">
        <v>3.4099999999999998E-3</v>
      </c>
      <c r="H72" t="s">
        <v>47</v>
      </c>
      <c r="J72">
        <f t="shared" si="1"/>
        <v>3.4999999999999996E-3</v>
      </c>
    </row>
    <row r="73" spans="1:10" x14ac:dyDescent="0.3">
      <c r="A73">
        <v>114</v>
      </c>
      <c r="B73">
        <v>16.952233</v>
      </c>
      <c r="C73" t="s">
        <v>8</v>
      </c>
      <c r="D73" t="s">
        <v>21</v>
      </c>
      <c r="E73" t="s">
        <v>10</v>
      </c>
      <c r="F73">
        <v>66</v>
      </c>
      <c r="G73">
        <v>0.512374</v>
      </c>
      <c r="H73" t="s">
        <v>48</v>
      </c>
      <c r="J73">
        <f t="shared" si="1"/>
        <v>0.51239999999999997</v>
      </c>
    </row>
    <row r="74" spans="1:10" x14ac:dyDescent="0.3">
      <c r="A74">
        <v>115</v>
      </c>
      <c r="B74">
        <v>17.04833</v>
      </c>
      <c r="C74" t="s">
        <v>21</v>
      </c>
      <c r="D74" t="s">
        <v>8</v>
      </c>
      <c r="E74" t="s">
        <v>10</v>
      </c>
      <c r="F74">
        <v>60</v>
      </c>
      <c r="G74">
        <v>9.6097000000000002E-2</v>
      </c>
      <c r="H74" t="s">
        <v>47</v>
      </c>
      <c r="J74">
        <f t="shared" si="1"/>
        <v>9.6100000000000005E-2</v>
      </c>
    </row>
    <row r="75" spans="1:10" x14ac:dyDescent="0.3">
      <c r="A75">
        <v>117</v>
      </c>
      <c r="B75">
        <v>17.557558</v>
      </c>
      <c r="C75" t="s">
        <v>8</v>
      </c>
      <c r="D75" t="s">
        <v>21</v>
      </c>
      <c r="E75" t="s">
        <v>10</v>
      </c>
      <c r="F75">
        <v>66</v>
      </c>
      <c r="G75">
        <v>0.50922800000000001</v>
      </c>
      <c r="H75" t="s">
        <v>48</v>
      </c>
      <c r="J75">
        <f t="shared" si="1"/>
        <v>0.50929999999999997</v>
      </c>
    </row>
    <row r="76" spans="1:10" x14ac:dyDescent="0.3">
      <c r="A76">
        <v>118</v>
      </c>
      <c r="B76">
        <v>17.664315999999999</v>
      </c>
      <c r="C76" t="s">
        <v>21</v>
      </c>
      <c r="D76" t="s">
        <v>8</v>
      </c>
      <c r="E76" t="s">
        <v>10</v>
      </c>
      <c r="F76">
        <v>60</v>
      </c>
      <c r="G76">
        <v>0.10675800000000001</v>
      </c>
      <c r="H76" t="s">
        <v>47</v>
      </c>
      <c r="J76">
        <f t="shared" si="1"/>
        <v>0.10680000000000001</v>
      </c>
    </row>
    <row r="77" spans="1:10" x14ac:dyDescent="0.3">
      <c r="A77">
        <v>119</v>
      </c>
      <c r="B77">
        <v>17.929986</v>
      </c>
      <c r="C77" t="s">
        <v>8</v>
      </c>
      <c r="D77" t="s">
        <v>49</v>
      </c>
      <c r="E77" t="s">
        <v>10</v>
      </c>
      <c r="F77">
        <v>66</v>
      </c>
      <c r="G77">
        <v>0.26567000000000002</v>
      </c>
      <c r="H77" t="s">
        <v>50</v>
      </c>
      <c r="J77">
        <f t="shared" si="1"/>
        <v>0.26569999999999999</v>
      </c>
    </row>
    <row r="78" spans="1:10" x14ac:dyDescent="0.3">
      <c r="A78">
        <v>120</v>
      </c>
      <c r="B78">
        <v>17.930340000000001</v>
      </c>
      <c r="C78" t="s">
        <v>8</v>
      </c>
      <c r="D78" t="s">
        <v>51</v>
      </c>
      <c r="E78" t="s">
        <v>10</v>
      </c>
      <c r="F78">
        <v>66</v>
      </c>
      <c r="G78">
        <v>3.5399999999999999E-4</v>
      </c>
      <c r="H78" t="s">
        <v>52</v>
      </c>
      <c r="J78">
        <f t="shared" si="1"/>
        <v>3.9999999999999996E-4</v>
      </c>
    </row>
    <row r="79" spans="1:10" x14ac:dyDescent="0.3">
      <c r="A79">
        <v>121</v>
      </c>
      <c r="B79">
        <v>18.175335</v>
      </c>
      <c r="C79" t="s">
        <v>8</v>
      </c>
      <c r="D79" t="s">
        <v>21</v>
      </c>
      <c r="E79" t="s">
        <v>10</v>
      </c>
      <c r="F79">
        <v>66</v>
      </c>
      <c r="G79">
        <v>0.24499499999999999</v>
      </c>
      <c r="H79" t="s">
        <v>48</v>
      </c>
      <c r="J79">
        <f t="shared" si="1"/>
        <v>0.245</v>
      </c>
    </row>
    <row r="80" spans="1:10" x14ac:dyDescent="0.3">
      <c r="A80">
        <v>122</v>
      </c>
      <c r="B80">
        <v>18.180026000000002</v>
      </c>
      <c r="C80" t="s">
        <v>21</v>
      </c>
      <c r="D80" t="s">
        <v>8</v>
      </c>
      <c r="E80" t="s">
        <v>10</v>
      </c>
      <c r="F80">
        <v>60</v>
      </c>
      <c r="G80">
        <v>4.6909999999999999E-3</v>
      </c>
      <c r="H80" t="s">
        <v>47</v>
      </c>
      <c r="J80">
        <f t="shared" si="1"/>
        <v>4.7000000000000002E-3</v>
      </c>
    </row>
    <row r="81" spans="1:10" x14ac:dyDescent="0.3">
      <c r="A81">
        <v>123</v>
      </c>
      <c r="B81">
        <v>18.180909</v>
      </c>
      <c r="C81" t="s">
        <v>8</v>
      </c>
      <c r="D81" t="s">
        <v>9</v>
      </c>
      <c r="E81" t="s">
        <v>14</v>
      </c>
      <c r="F81">
        <v>71</v>
      </c>
      <c r="G81">
        <v>8.83E-4</v>
      </c>
      <c r="H81" t="s">
        <v>24</v>
      </c>
      <c r="J81">
        <f t="shared" si="1"/>
        <v>9.0000000000000008E-4</v>
      </c>
    </row>
    <row r="82" spans="1:10" x14ac:dyDescent="0.3">
      <c r="A82">
        <v>124</v>
      </c>
      <c r="B82">
        <v>18.185185000000001</v>
      </c>
      <c r="C82" t="s">
        <v>9</v>
      </c>
      <c r="D82" t="s">
        <v>8</v>
      </c>
      <c r="E82" t="s">
        <v>14</v>
      </c>
      <c r="F82">
        <v>71</v>
      </c>
      <c r="G82">
        <v>4.2760000000000003E-3</v>
      </c>
      <c r="H82" t="s">
        <v>24</v>
      </c>
      <c r="J82">
        <f t="shared" si="1"/>
        <v>4.3E-3</v>
      </c>
    </row>
    <row r="83" spans="1:10" x14ac:dyDescent="0.3">
      <c r="A83">
        <v>125</v>
      </c>
      <c r="B83">
        <v>18.237669</v>
      </c>
      <c r="C83" t="s">
        <v>8</v>
      </c>
      <c r="D83" t="s">
        <v>9</v>
      </c>
      <c r="E83" t="s">
        <v>10</v>
      </c>
      <c r="F83">
        <v>54</v>
      </c>
      <c r="G83">
        <v>5.2484000000000003E-2</v>
      </c>
      <c r="H83" t="s">
        <v>53</v>
      </c>
      <c r="J83">
        <f t="shared" si="1"/>
        <v>5.2500000000000005E-2</v>
      </c>
    </row>
    <row r="84" spans="1:10" x14ac:dyDescent="0.3">
      <c r="A84">
        <v>126</v>
      </c>
      <c r="B84">
        <v>18.688566000000002</v>
      </c>
      <c r="C84" t="s">
        <v>8</v>
      </c>
      <c r="D84" t="s">
        <v>21</v>
      </c>
      <c r="E84" t="s">
        <v>10</v>
      </c>
      <c r="F84">
        <v>66</v>
      </c>
      <c r="G84">
        <v>0.45089699999999999</v>
      </c>
      <c r="H84" t="s">
        <v>48</v>
      </c>
      <c r="J84">
        <f t="shared" si="1"/>
        <v>0.45089999999999997</v>
      </c>
    </row>
    <row r="85" spans="1:10" x14ac:dyDescent="0.3">
      <c r="A85">
        <v>127</v>
      </c>
      <c r="B85">
        <v>18.69359</v>
      </c>
      <c r="C85" t="s">
        <v>21</v>
      </c>
      <c r="D85" t="s">
        <v>8</v>
      </c>
      <c r="E85" t="s">
        <v>10</v>
      </c>
      <c r="F85">
        <v>60</v>
      </c>
      <c r="G85">
        <v>5.0239999999999998E-3</v>
      </c>
      <c r="H85" t="s">
        <v>47</v>
      </c>
      <c r="J85">
        <f t="shared" si="1"/>
        <v>5.1000000000000004E-3</v>
      </c>
    </row>
    <row r="86" spans="1:10" x14ac:dyDescent="0.3">
      <c r="A86">
        <v>128</v>
      </c>
      <c r="B86">
        <v>18.874507999999999</v>
      </c>
      <c r="C86" t="s">
        <v>9</v>
      </c>
      <c r="D86" t="s">
        <v>8</v>
      </c>
      <c r="E86" t="s">
        <v>14</v>
      </c>
      <c r="F86">
        <v>71</v>
      </c>
      <c r="G86">
        <v>0.180918</v>
      </c>
      <c r="H86" t="s">
        <v>24</v>
      </c>
      <c r="J86">
        <f t="shared" si="1"/>
        <v>0.18099999999999999</v>
      </c>
    </row>
    <row r="87" spans="1:10" x14ac:dyDescent="0.3">
      <c r="A87">
        <v>129</v>
      </c>
      <c r="B87">
        <v>18.919834999999999</v>
      </c>
      <c r="C87" t="s">
        <v>8</v>
      </c>
      <c r="D87" t="s">
        <v>9</v>
      </c>
      <c r="E87" t="s">
        <v>10</v>
      </c>
      <c r="F87">
        <v>54</v>
      </c>
      <c r="G87">
        <v>4.5326999999999999E-2</v>
      </c>
      <c r="H87" t="s">
        <v>54</v>
      </c>
      <c r="J87">
        <f t="shared" si="1"/>
        <v>4.5400000000000003E-2</v>
      </c>
    </row>
    <row r="88" spans="1:10" x14ac:dyDescent="0.3">
      <c r="A88">
        <v>130</v>
      </c>
      <c r="B88">
        <v>18.934785000000002</v>
      </c>
      <c r="C88" t="s">
        <v>8</v>
      </c>
      <c r="D88" t="s">
        <v>49</v>
      </c>
      <c r="E88" t="s">
        <v>10</v>
      </c>
      <c r="F88">
        <v>66</v>
      </c>
      <c r="G88">
        <v>1.495E-2</v>
      </c>
      <c r="H88" t="s">
        <v>55</v>
      </c>
      <c r="J88">
        <f t="shared" si="1"/>
        <v>1.4999999999999999E-2</v>
      </c>
    </row>
    <row r="89" spans="1:10" x14ac:dyDescent="0.3">
      <c r="A89">
        <v>131</v>
      </c>
      <c r="B89">
        <v>18.934785000000002</v>
      </c>
      <c r="C89" t="s">
        <v>8</v>
      </c>
      <c r="D89" t="s">
        <v>51</v>
      </c>
      <c r="E89" t="s">
        <v>10</v>
      </c>
      <c r="F89">
        <v>66</v>
      </c>
      <c r="G89">
        <v>0</v>
      </c>
      <c r="H89" t="s">
        <v>56</v>
      </c>
      <c r="J89">
        <f t="shared" si="1"/>
        <v>0</v>
      </c>
    </row>
    <row r="90" spans="1:10" x14ac:dyDescent="0.3">
      <c r="A90">
        <v>132</v>
      </c>
      <c r="B90">
        <v>18.950568000000001</v>
      </c>
      <c r="C90" t="s">
        <v>8</v>
      </c>
      <c r="D90" t="s">
        <v>57</v>
      </c>
      <c r="E90" t="s">
        <v>10</v>
      </c>
      <c r="F90">
        <v>66</v>
      </c>
      <c r="G90">
        <v>1.5782999999999998E-2</v>
      </c>
      <c r="H90" t="s">
        <v>58</v>
      </c>
      <c r="J90">
        <f t="shared" si="1"/>
        <v>1.5799999999999998E-2</v>
      </c>
    </row>
    <row r="91" spans="1:10" x14ac:dyDescent="0.3">
      <c r="A91">
        <v>134</v>
      </c>
      <c r="B91">
        <v>19.941496000000001</v>
      </c>
      <c r="C91" t="s">
        <v>8</v>
      </c>
      <c r="D91" t="s">
        <v>9</v>
      </c>
      <c r="E91" t="s">
        <v>14</v>
      </c>
      <c r="F91">
        <v>71</v>
      </c>
      <c r="G91">
        <v>0.99092800000000003</v>
      </c>
      <c r="H91" t="s">
        <v>24</v>
      </c>
      <c r="J91">
        <f t="shared" si="1"/>
        <v>0.99099999999999999</v>
      </c>
    </row>
    <row r="92" spans="1:10" x14ac:dyDescent="0.3">
      <c r="A92">
        <v>135</v>
      </c>
      <c r="B92">
        <v>19.947133000000001</v>
      </c>
      <c r="C92" t="s">
        <v>9</v>
      </c>
      <c r="D92" t="s">
        <v>8</v>
      </c>
      <c r="E92" t="s">
        <v>14</v>
      </c>
      <c r="F92">
        <v>71</v>
      </c>
      <c r="G92">
        <v>5.6369999999999996E-3</v>
      </c>
      <c r="H92" t="s">
        <v>24</v>
      </c>
      <c r="J92">
        <f t="shared" si="1"/>
        <v>5.7000000000000002E-3</v>
      </c>
    </row>
    <row r="93" spans="1:10" x14ac:dyDescent="0.3">
      <c r="A93">
        <v>136</v>
      </c>
      <c r="B93">
        <v>19.963260999999999</v>
      </c>
      <c r="C93" t="s">
        <v>8</v>
      </c>
      <c r="D93" t="s">
        <v>57</v>
      </c>
      <c r="E93" t="s">
        <v>10</v>
      </c>
      <c r="F93">
        <v>66</v>
      </c>
      <c r="G93">
        <v>1.6128E-2</v>
      </c>
      <c r="H93" t="s">
        <v>59</v>
      </c>
      <c r="J93">
        <f t="shared" si="1"/>
        <v>1.6199999999999999E-2</v>
      </c>
    </row>
    <row r="94" spans="1:10" x14ac:dyDescent="0.3">
      <c r="A94">
        <v>137</v>
      </c>
      <c r="B94">
        <v>19.993741</v>
      </c>
      <c r="C94" t="s">
        <v>8</v>
      </c>
      <c r="D94" t="s">
        <v>9</v>
      </c>
      <c r="E94" t="s">
        <v>10</v>
      </c>
      <c r="F94">
        <v>54</v>
      </c>
      <c r="G94">
        <v>3.048E-2</v>
      </c>
      <c r="H94" t="s">
        <v>60</v>
      </c>
      <c r="J94">
        <f t="shared" si="1"/>
        <v>3.0499999999999999E-2</v>
      </c>
    </row>
    <row r="95" spans="1:10" x14ac:dyDescent="0.3">
      <c r="A95">
        <v>138</v>
      </c>
      <c r="B95">
        <v>20.542735</v>
      </c>
      <c r="C95" t="s">
        <v>9</v>
      </c>
      <c r="D95" t="s">
        <v>8</v>
      </c>
      <c r="E95" t="s">
        <v>14</v>
      </c>
      <c r="F95">
        <v>71</v>
      </c>
      <c r="G95">
        <v>0.54899399999999998</v>
      </c>
      <c r="H95" t="s">
        <v>24</v>
      </c>
      <c r="J95">
        <f t="shared" si="1"/>
        <v>0.54900000000000004</v>
      </c>
    </row>
    <row r="96" spans="1:10" x14ac:dyDescent="0.3">
      <c r="A96">
        <v>139</v>
      </c>
      <c r="B96">
        <v>20.583919000000002</v>
      </c>
      <c r="C96" t="s">
        <v>8</v>
      </c>
      <c r="D96" t="s">
        <v>9</v>
      </c>
      <c r="E96" t="s">
        <v>10</v>
      </c>
      <c r="F96">
        <v>54</v>
      </c>
      <c r="G96">
        <v>4.1183999999999998E-2</v>
      </c>
      <c r="H96" t="s">
        <v>61</v>
      </c>
      <c r="J96">
        <f t="shared" si="1"/>
        <v>4.1200000000000001E-2</v>
      </c>
    </row>
    <row r="97" spans="1:10" x14ac:dyDescent="0.3">
      <c r="A97">
        <v>140</v>
      </c>
      <c r="B97">
        <v>20.940397000000001</v>
      </c>
      <c r="C97" t="s">
        <v>8</v>
      </c>
      <c r="D97" t="s">
        <v>51</v>
      </c>
      <c r="E97" t="s">
        <v>10</v>
      </c>
      <c r="F97">
        <v>66</v>
      </c>
      <c r="G97">
        <v>0.35647800000000002</v>
      </c>
      <c r="H97" t="s">
        <v>56</v>
      </c>
      <c r="J97">
        <f t="shared" si="1"/>
        <v>0.35649999999999998</v>
      </c>
    </row>
    <row r="98" spans="1:10" x14ac:dyDescent="0.3">
      <c r="A98">
        <v>141</v>
      </c>
      <c r="B98">
        <v>20.94042</v>
      </c>
      <c r="C98" t="s">
        <v>8</v>
      </c>
      <c r="D98" t="s">
        <v>49</v>
      </c>
      <c r="E98" t="s">
        <v>10</v>
      </c>
      <c r="F98">
        <v>66</v>
      </c>
      <c r="G98">
        <v>2.3E-5</v>
      </c>
      <c r="H98" t="s">
        <v>55</v>
      </c>
      <c r="J98">
        <f t="shared" si="1"/>
        <v>1E-4</v>
      </c>
    </row>
    <row r="99" spans="1:10" x14ac:dyDescent="0.3">
      <c r="A99">
        <v>143</v>
      </c>
      <c r="B99">
        <v>21.070695000000001</v>
      </c>
      <c r="C99" t="s">
        <v>8</v>
      </c>
      <c r="D99" t="s">
        <v>9</v>
      </c>
      <c r="E99" t="s">
        <v>14</v>
      </c>
      <c r="F99">
        <v>71</v>
      </c>
      <c r="G99">
        <v>0.130275</v>
      </c>
      <c r="H99" t="s">
        <v>24</v>
      </c>
      <c r="J99">
        <f t="shared" si="1"/>
        <v>0.1303</v>
      </c>
    </row>
    <row r="100" spans="1:10" x14ac:dyDescent="0.3">
      <c r="A100">
        <v>144</v>
      </c>
      <c r="B100">
        <v>21.076705</v>
      </c>
      <c r="C100" t="s">
        <v>9</v>
      </c>
      <c r="D100" t="s">
        <v>8</v>
      </c>
      <c r="E100" t="s">
        <v>14</v>
      </c>
      <c r="F100">
        <v>71</v>
      </c>
      <c r="G100">
        <v>6.0099999999999997E-3</v>
      </c>
      <c r="H100" t="s">
        <v>24</v>
      </c>
      <c r="J100">
        <f t="shared" si="1"/>
        <v>6.1000000000000004E-3</v>
      </c>
    </row>
    <row r="101" spans="1:10" x14ac:dyDescent="0.3">
      <c r="A101">
        <v>145</v>
      </c>
      <c r="B101">
        <v>21.126677999999998</v>
      </c>
      <c r="C101" t="s">
        <v>8</v>
      </c>
      <c r="D101" t="s">
        <v>9</v>
      </c>
      <c r="E101" t="s">
        <v>10</v>
      </c>
      <c r="F101">
        <v>54</v>
      </c>
      <c r="G101">
        <v>4.9972999999999997E-2</v>
      </c>
      <c r="H101" t="s">
        <v>62</v>
      </c>
      <c r="J101">
        <f t="shared" si="1"/>
        <v>0.05</v>
      </c>
    </row>
    <row r="102" spans="1:10" x14ac:dyDescent="0.3">
      <c r="A102">
        <v>150</v>
      </c>
      <c r="B102">
        <v>21.641646999999999</v>
      </c>
      <c r="C102" t="s">
        <v>9</v>
      </c>
      <c r="D102" t="s">
        <v>8</v>
      </c>
      <c r="E102" t="s">
        <v>14</v>
      </c>
      <c r="F102">
        <v>71</v>
      </c>
      <c r="G102">
        <v>0.51496900000000001</v>
      </c>
      <c r="H102" t="s">
        <v>24</v>
      </c>
      <c r="J102">
        <f t="shared" si="1"/>
        <v>0.51500000000000001</v>
      </c>
    </row>
    <row r="103" spans="1:10" x14ac:dyDescent="0.3">
      <c r="A103">
        <v>151</v>
      </c>
      <c r="B103">
        <v>21.687871000000001</v>
      </c>
      <c r="C103" t="s">
        <v>8</v>
      </c>
      <c r="D103" t="s">
        <v>9</v>
      </c>
      <c r="E103" t="s">
        <v>10</v>
      </c>
      <c r="F103">
        <v>54</v>
      </c>
      <c r="G103">
        <v>4.6224000000000001E-2</v>
      </c>
      <c r="H103" t="s">
        <v>63</v>
      </c>
      <c r="J103">
        <f t="shared" si="1"/>
        <v>4.6300000000000001E-2</v>
      </c>
    </row>
    <row r="104" spans="1:10" x14ac:dyDescent="0.3">
      <c r="A104">
        <v>152</v>
      </c>
      <c r="B104">
        <v>21.968451000000002</v>
      </c>
      <c r="C104" t="s">
        <v>8</v>
      </c>
      <c r="D104" t="s">
        <v>57</v>
      </c>
      <c r="E104" t="s">
        <v>10</v>
      </c>
      <c r="F104">
        <v>66</v>
      </c>
      <c r="G104">
        <v>0.28058</v>
      </c>
      <c r="H104" t="s">
        <v>59</v>
      </c>
      <c r="J104">
        <f t="shared" si="1"/>
        <v>0.28060000000000002</v>
      </c>
    </row>
    <row r="105" spans="1:10" x14ac:dyDescent="0.3">
      <c r="A105">
        <v>155</v>
      </c>
      <c r="B105">
        <v>22.205686</v>
      </c>
      <c r="C105" t="s">
        <v>8</v>
      </c>
      <c r="D105" t="s">
        <v>9</v>
      </c>
      <c r="E105" t="s">
        <v>14</v>
      </c>
      <c r="F105">
        <v>71</v>
      </c>
      <c r="G105">
        <v>0.237235</v>
      </c>
      <c r="H105" t="s">
        <v>24</v>
      </c>
      <c r="J105">
        <f t="shared" si="1"/>
        <v>0.23729999999999998</v>
      </c>
    </row>
    <row r="106" spans="1:10" x14ac:dyDescent="0.3">
      <c r="A106">
        <v>156</v>
      </c>
      <c r="B106">
        <v>22.211359000000002</v>
      </c>
      <c r="C106" t="s">
        <v>9</v>
      </c>
      <c r="D106" t="s">
        <v>8</v>
      </c>
      <c r="E106" t="s">
        <v>14</v>
      </c>
      <c r="F106">
        <v>71</v>
      </c>
      <c r="G106">
        <v>5.6730000000000001E-3</v>
      </c>
      <c r="H106" t="s">
        <v>24</v>
      </c>
      <c r="J106">
        <f t="shared" si="1"/>
        <v>5.7000000000000002E-3</v>
      </c>
    </row>
    <row r="107" spans="1:10" x14ac:dyDescent="0.3">
      <c r="A107">
        <v>157</v>
      </c>
      <c r="B107">
        <v>22.260769</v>
      </c>
      <c r="C107" t="s">
        <v>8</v>
      </c>
      <c r="D107" t="s">
        <v>9</v>
      </c>
      <c r="E107" t="s">
        <v>10</v>
      </c>
      <c r="F107">
        <v>54</v>
      </c>
      <c r="G107">
        <v>4.9410000000000003E-2</v>
      </c>
      <c r="H107" t="s">
        <v>64</v>
      </c>
      <c r="J107">
        <f t="shared" si="1"/>
        <v>4.9500000000000002E-2</v>
      </c>
    </row>
    <row r="108" spans="1:10" x14ac:dyDescent="0.3">
      <c r="A108">
        <v>158</v>
      </c>
      <c r="B108">
        <v>22.826405999999999</v>
      </c>
      <c r="C108" t="s">
        <v>9</v>
      </c>
      <c r="D108" t="s">
        <v>8</v>
      </c>
      <c r="E108" t="s">
        <v>14</v>
      </c>
      <c r="F108">
        <v>71</v>
      </c>
      <c r="G108">
        <v>0.56563699999999995</v>
      </c>
      <c r="H108" t="s">
        <v>24</v>
      </c>
      <c r="J108">
        <f t="shared" si="1"/>
        <v>0.56569999999999998</v>
      </c>
    </row>
    <row r="109" spans="1:10" x14ac:dyDescent="0.3">
      <c r="A109">
        <v>159</v>
      </c>
      <c r="B109">
        <v>22.867505999999999</v>
      </c>
      <c r="C109" t="s">
        <v>8</v>
      </c>
      <c r="D109" t="s">
        <v>9</v>
      </c>
      <c r="E109" t="s">
        <v>10</v>
      </c>
      <c r="F109">
        <v>54</v>
      </c>
      <c r="G109">
        <v>4.1099999999999998E-2</v>
      </c>
      <c r="H109" t="s">
        <v>65</v>
      </c>
      <c r="J109">
        <f t="shared" si="1"/>
        <v>4.1099999999999998E-2</v>
      </c>
    </row>
    <row r="110" spans="1:10" x14ac:dyDescent="0.3">
      <c r="A110">
        <v>161</v>
      </c>
      <c r="B110">
        <v>23.359929000000001</v>
      </c>
      <c r="C110" t="s">
        <v>8</v>
      </c>
      <c r="D110" t="s">
        <v>9</v>
      </c>
      <c r="E110" t="s">
        <v>14</v>
      </c>
      <c r="F110">
        <v>71</v>
      </c>
      <c r="G110">
        <v>0.492423</v>
      </c>
      <c r="H110" t="s">
        <v>24</v>
      </c>
      <c r="J110">
        <f t="shared" si="1"/>
        <v>0.49249999999999999</v>
      </c>
    </row>
    <row r="111" spans="1:10" x14ac:dyDescent="0.3">
      <c r="A111">
        <v>162</v>
      </c>
      <c r="B111">
        <v>23.364843</v>
      </c>
      <c r="C111" t="s">
        <v>9</v>
      </c>
      <c r="D111" t="s">
        <v>8</v>
      </c>
      <c r="E111" t="s">
        <v>14</v>
      </c>
      <c r="F111">
        <v>71</v>
      </c>
      <c r="G111">
        <v>4.914E-3</v>
      </c>
      <c r="H111" t="s">
        <v>24</v>
      </c>
      <c r="J111">
        <f t="shared" si="1"/>
        <v>5.0000000000000001E-3</v>
      </c>
    </row>
    <row r="112" spans="1:10" x14ac:dyDescent="0.3">
      <c r="A112">
        <v>163</v>
      </c>
      <c r="B112">
        <v>23.412081000000001</v>
      </c>
      <c r="C112" t="s">
        <v>8</v>
      </c>
      <c r="D112" t="s">
        <v>9</v>
      </c>
      <c r="E112" t="s">
        <v>10</v>
      </c>
      <c r="F112">
        <v>54</v>
      </c>
      <c r="G112">
        <v>4.7238000000000002E-2</v>
      </c>
      <c r="H112" t="s">
        <v>66</v>
      </c>
      <c r="J112">
        <f t="shared" si="1"/>
        <v>4.7300000000000002E-2</v>
      </c>
    </row>
    <row r="113" spans="1:10" x14ac:dyDescent="0.3">
      <c r="A113">
        <v>164</v>
      </c>
      <c r="B113">
        <v>24.001370000000001</v>
      </c>
      <c r="C113" t="s">
        <v>9</v>
      </c>
      <c r="D113" t="s">
        <v>8</v>
      </c>
      <c r="E113" t="s">
        <v>14</v>
      </c>
      <c r="F113">
        <v>71</v>
      </c>
      <c r="G113">
        <v>0.58928899999999995</v>
      </c>
      <c r="H113" t="s">
        <v>24</v>
      </c>
      <c r="J113">
        <f t="shared" si="1"/>
        <v>0.58929999999999993</v>
      </c>
    </row>
    <row r="114" spans="1:10" x14ac:dyDescent="0.3">
      <c r="A114">
        <v>165</v>
      </c>
      <c r="B114">
        <v>24.049219000000001</v>
      </c>
      <c r="C114" t="s">
        <v>8</v>
      </c>
      <c r="D114" t="s">
        <v>9</v>
      </c>
      <c r="E114" t="s">
        <v>10</v>
      </c>
      <c r="F114">
        <v>54</v>
      </c>
      <c r="G114">
        <v>4.7849000000000003E-2</v>
      </c>
      <c r="H114" t="s">
        <v>67</v>
      </c>
      <c r="J114">
        <f t="shared" si="1"/>
        <v>4.7900000000000005E-2</v>
      </c>
    </row>
    <row r="115" spans="1:10" x14ac:dyDescent="0.3">
      <c r="A115">
        <v>166</v>
      </c>
      <c r="B115">
        <v>24.68439</v>
      </c>
      <c r="C115" t="s">
        <v>8</v>
      </c>
      <c r="D115" t="s">
        <v>9</v>
      </c>
      <c r="E115" t="s">
        <v>14</v>
      </c>
      <c r="F115">
        <v>71</v>
      </c>
      <c r="G115">
        <v>0.63517100000000004</v>
      </c>
      <c r="H115" t="s">
        <v>24</v>
      </c>
      <c r="J115">
        <f t="shared" si="1"/>
        <v>0.63519999999999999</v>
      </c>
    </row>
    <row r="116" spans="1:10" x14ac:dyDescent="0.3">
      <c r="A116">
        <v>167</v>
      </c>
      <c r="B116">
        <v>24.690035999999999</v>
      </c>
      <c r="C116" t="s">
        <v>9</v>
      </c>
      <c r="D116" t="s">
        <v>8</v>
      </c>
      <c r="E116" t="s">
        <v>14</v>
      </c>
      <c r="F116">
        <v>71</v>
      </c>
      <c r="G116">
        <v>5.646E-3</v>
      </c>
      <c r="H116" t="s">
        <v>24</v>
      </c>
      <c r="J116">
        <f t="shared" si="1"/>
        <v>5.7000000000000002E-3</v>
      </c>
    </row>
    <row r="117" spans="1:10" x14ac:dyDescent="0.3">
      <c r="A117">
        <v>168</v>
      </c>
      <c r="B117">
        <v>24.738211</v>
      </c>
      <c r="C117" t="s">
        <v>8</v>
      </c>
      <c r="D117" t="s">
        <v>9</v>
      </c>
      <c r="E117" t="s">
        <v>10</v>
      </c>
      <c r="F117">
        <v>54</v>
      </c>
      <c r="G117">
        <v>4.8175000000000003E-2</v>
      </c>
      <c r="H117" t="s">
        <v>68</v>
      </c>
      <c r="J117">
        <f t="shared" si="1"/>
        <v>4.82E-2</v>
      </c>
    </row>
    <row r="118" spans="1:10" x14ac:dyDescent="0.3">
      <c r="A118">
        <v>169</v>
      </c>
      <c r="B118">
        <v>24.954792999999999</v>
      </c>
      <c r="C118" t="s">
        <v>8</v>
      </c>
      <c r="D118" t="s">
        <v>49</v>
      </c>
      <c r="E118" t="s">
        <v>10</v>
      </c>
      <c r="F118">
        <v>66</v>
      </c>
      <c r="G118">
        <v>0.216582</v>
      </c>
      <c r="H118" t="s">
        <v>55</v>
      </c>
      <c r="J118">
        <f t="shared" si="1"/>
        <v>0.21659999999999999</v>
      </c>
    </row>
    <row r="119" spans="1:10" x14ac:dyDescent="0.3">
      <c r="A119">
        <v>170</v>
      </c>
      <c r="B119">
        <v>24.954792999999999</v>
      </c>
      <c r="C119" t="s">
        <v>8</v>
      </c>
      <c r="D119" t="s">
        <v>51</v>
      </c>
      <c r="E119" t="s">
        <v>10</v>
      </c>
      <c r="F119">
        <v>66</v>
      </c>
      <c r="G119">
        <v>0</v>
      </c>
      <c r="H119" t="s">
        <v>56</v>
      </c>
      <c r="J119">
        <f t="shared" si="1"/>
        <v>0</v>
      </c>
    </row>
    <row r="120" spans="1:10" x14ac:dyDescent="0.3">
      <c r="A120">
        <v>172</v>
      </c>
      <c r="B120">
        <v>25.335925</v>
      </c>
      <c r="C120" t="s">
        <v>9</v>
      </c>
      <c r="D120" t="s">
        <v>8</v>
      </c>
      <c r="E120" t="s">
        <v>14</v>
      </c>
      <c r="F120">
        <v>71</v>
      </c>
      <c r="G120">
        <v>0.38113200000000003</v>
      </c>
      <c r="H120" t="s">
        <v>24</v>
      </c>
      <c r="J120">
        <f t="shared" si="1"/>
        <v>0.38119999999999998</v>
      </c>
    </row>
    <row r="121" spans="1:10" x14ac:dyDescent="0.3">
      <c r="A121">
        <v>173</v>
      </c>
      <c r="B121">
        <v>25.388286000000001</v>
      </c>
      <c r="C121" t="s">
        <v>8</v>
      </c>
      <c r="D121" t="s">
        <v>9</v>
      </c>
      <c r="E121" t="s">
        <v>10</v>
      </c>
      <c r="F121">
        <v>54</v>
      </c>
      <c r="G121">
        <v>5.2360999999999998E-2</v>
      </c>
      <c r="H121" t="s">
        <v>69</v>
      </c>
      <c r="J121">
        <f t="shared" si="1"/>
        <v>5.2400000000000002E-2</v>
      </c>
    </row>
    <row r="122" spans="1:10" x14ac:dyDescent="0.3">
      <c r="A122">
        <v>174</v>
      </c>
      <c r="B122">
        <v>25.876608000000001</v>
      </c>
      <c r="C122" t="s">
        <v>8</v>
      </c>
      <c r="D122" t="s">
        <v>9</v>
      </c>
      <c r="E122" t="s">
        <v>14</v>
      </c>
      <c r="F122">
        <v>71</v>
      </c>
      <c r="G122">
        <v>0.48832199999999998</v>
      </c>
      <c r="H122" t="s">
        <v>24</v>
      </c>
      <c r="J122">
        <f t="shared" si="1"/>
        <v>0.4884</v>
      </c>
    </row>
    <row r="123" spans="1:10" x14ac:dyDescent="0.3">
      <c r="A123">
        <v>175</v>
      </c>
      <c r="B123">
        <v>25.881768999999998</v>
      </c>
      <c r="C123" t="s">
        <v>9</v>
      </c>
      <c r="D123" t="s">
        <v>8</v>
      </c>
      <c r="E123" t="s">
        <v>14</v>
      </c>
      <c r="F123">
        <v>71</v>
      </c>
      <c r="G123">
        <v>5.1609999999999998E-3</v>
      </c>
      <c r="H123" t="s">
        <v>24</v>
      </c>
      <c r="J123">
        <f t="shared" si="1"/>
        <v>5.2000000000000006E-3</v>
      </c>
    </row>
    <row r="124" spans="1:10" x14ac:dyDescent="0.3">
      <c r="A124">
        <v>176</v>
      </c>
      <c r="B124">
        <v>25.931398000000002</v>
      </c>
      <c r="C124" t="s">
        <v>8</v>
      </c>
      <c r="D124" t="s">
        <v>9</v>
      </c>
      <c r="E124" t="s">
        <v>10</v>
      </c>
      <c r="F124">
        <v>54</v>
      </c>
      <c r="G124">
        <v>4.9629E-2</v>
      </c>
      <c r="H124" t="s">
        <v>70</v>
      </c>
      <c r="J124">
        <f t="shared" si="1"/>
        <v>4.9700000000000001E-2</v>
      </c>
    </row>
    <row r="125" spans="1:10" x14ac:dyDescent="0.3">
      <c r="A125">
        <v>177</v>
      </c>
      <c r="B125">
        <v>25.976980000000001</v>
      </c>
      <c r="C125" t="s">
        <v>8</v>
      </c>
      <c r="D125" t="s">
        <v>57</v>
      </c>
      <c r="E125" t="s">
        <v>10</v>
      </c>
      <c r="F125">
        <v>66</v>
      </c>
      <c r="G125">
        <v>4.5581999999999998E-2</v>
      </c>
      <c r="H125" t="s">
        <v>59</v>
      </c>
      <c r="J125">
        <f t="shared" si="1"/>
        <v>4.5600000000000002E-2</v>
      </c>
    </row>
    <row r="126" spans="1:10" x14ac:dyDescent="0.3">
      <c r="A126">
        <v>178</v>
      </c>
      <c r="B126">
        <v>26.467034000000002</v>
      </c>
      <c r="C126" t="s">
        <v>9</v>
      </c>
      <c r="D126" t="s">
        <v>8</v>
      </c>
      <c r="E126" t="s">
        <v>14</v>
      </c>
      <c r="F126">
        <v>71</v>
      </c>
      <c r="G126">
        <v>0.49005399999999999</v>
      </c>
      <c r="H126" t="s">
        <v>24</v>
      </c>
      <c r="J126">
        <f t="shared" si="1"/>
        <v>0.49009999999999998</v>
      </c>
    </row>
    <row r="127" spans="1:10" x14ac:dyDescent="0.3">
      <c r="A127">
        <v>179</v>
      </c>
      <c r="B127">
        <v>26.520401</v>
      </c>
      <c r="C127" t="s">
        <v>8</v>
      </c>
      <c r="D127" t="s">
        <v>9</v>
      </c>
      <c r="E127" t="s">
        <v>10</v>
      </c>
      <c r="F127">
        <v>54</v>
      </c>
      <c r="G127">
        <v>5.3366999999999998E-2</v>
      </c>
      <c r="H127" t="s">
        <v>71</v>
      </c>
      <c r="J127">
        <f t="shared" si="1"/>
        <v>5.3400000000000003E-2</v>
      </c>
    </row>
    <row r="128" spans="1:10" x14ac:dyDescent="0.3">
      <c r="A128">
        <v>180</v>
      </c>
      <c r="B128">
        <v>27.011541999999999</v>
      </c>
      <c r="C128" t="s">
        <v>8</v>
      </c>
      <c r="D128" t="s">
        <v>9</v>
      </c>
      <c r="E128" t="s">
        <v>14</v>
      </c>
      <c r="F128">
        <v>71</v>
      </c>
      <c r="G128">
        <v>0.49114099999999999</v>
      </c>
      <c r="H128" t="s">
        <v>24</v>
      </c>
      <c r="J128">
        <f t="shared" si="1"/>
        <v>0.49119999999999997</v>
      </c>
    </row>
    <row r="129" spans="1:10" x14ac:dyDescent="0.3">
      <c r="A129">
        <v>181</v>
      </c>
      <c r="B129">
        <v>27.015948999999999</v>
      </c>
      <c r="C129" t="s">
        <v>9</v>
      </c>
      <c r="D129" t="s">
        <v>8</v>
      </c>
      <c r="E129" t="s">
        <v>14</v>
      </c>
      <c r="F129">
        <v>71</v>
      </c>
      <c r="G129">
        <v>4.4070000000000003E-3</v>
      </c>
      <c r="H129" t="s">
        <v>24</v>
      </c>
      <c r="J129">
        <f t="shared" si="1"/>
        <v>4.5000000000000005E-3</v>
      </c>
    </row>
    <row r="130" spans="1:10" x14ac:dyDescent="0.3">
      <c r="A130">
        <v>182</v>
      </c>
      <c r="B130">
        <v>27.066701999999999</v>
      </c>
      <c r="C130" t="s">
        <v>8</v>
      </c>
      <c r="D130" t="s">
        <v>9</v>
      </c>
      <c r="E130" t="s">
        <v>10</v>
      </c>
      <c r="F130">
        <v>54</v>
      </c>
      <c r="G130">
        <v>5.0753E-2</v>
      </c>
      <c r="H130" t="s">
        <v>72</v>
      </c>
      <c r="J130">
        <f t="shared" si="1"/>
        <v>5.0800000000000005E-2</v>
      </c>
    </row>
    <row r="131" spans="1:10" x14ac:dyDescent="0.3">
      <c r="A131">
        <v>184</v>
      </c>
      <c r="B131">
        <v>27.632815999999998</v>
      </c>
      <c r="C131" t="s">
        <v>9</v>
      </c>
      <c r="D131" t="s">
        <v>8</v>
      </c>
      <c r="E131" t="s">
        <v>14</v>
      </c>
      <c r="F131">
        <v>71</v>
      </c>
      <c r="G131">
        <v>0.56611400000000001</v>
      </c>
      <c r="H131" t="s">
        <v>24</v>
      </c>
      <c r="J131">
        <f t="shared" si="1"/>
        <v>0.56620000000000004</v>
      </c>
    </row>
    <row r="132" spans="1:10" x14ac:dyDescent="0.3">
      <c r="A132">
        <v>185</v>
      </c>
      <c r="B132">
        <v>27.675035000000001</v>
      </c>
      <c r="C132" t="s">
        <v>8</v>
      </c>
      <c r="D132" t="s">
        <v>9</v>
      </c>
      <c r="E132" t="s">
        <v>10</v>
      </c>
      <c r="F132">
        <v>54</v>
      </c>
      <c r="G132">
        <v>4.2219E-2</v>
      </c>
      <c r="H132" t="s">
        <v>73</v>
      </c>
      <c r="J132">
        <f t="shared" ref="J132:J184" si="2">ROUNDUP(G132,4)</f>
        <v>4.2300000000000004E-2</v>
      </c>
    </row>
    <row r="133" spans="1:10" x14ac:dyDescent="0.3">
      <c r="A133">
        <v>186</v>
      </c>
      <c r="B133">
        <v>28.180313999999999</v>
      </c>
      <c r="C133" t="s">
        <v>8</v>
      </c>
      <c r="D133" t="s">
        <v>9</v>
      </c>
      <c r="E133" t="s">
        <v>14</v>
      </c>
      <c r="F133">
        <v>71</v>
      </c>
      <c r="G133">
        <v>0.50527900000000003</v>
      </c>
      <c r="H133" t="s">
        <v>24</v>
      </c>
      <c r="J133">
        <f t="shared" si="2"/>
        <v>0.50529999999999997</v>
      </c>
    </row>
    <row r="134" spans="1:10" x14ac:dyDescent="0.3">
      <c r="A134">
        <v>187</v>
      </c>
      <c r="B134">
        <v>28.185271</v>
      </c>
      <c r="C134" t="s">
        <v>9</v>
      </c>
      <c r="D134" t="s">
        <v>8</v>
      </c>
      <c r="E134" t="s">
        <v>14</v>
      </c>
      <c r="F134">
        <v>71</v>
      </c>
      <c r="G134">
        <v>4.9569999999999996E-3</v>
      </c>
      <c r="H134" t="s">
        <v>24</v>
      </c>
      <c r="J134">
        <f t="shared" si="2"/>
        <v>5.0000000000000001E-3</v>
      </c>
    </row>
    <row r="135" spans="1:10" x14ac:dyDescent="0.3">
      <c r="A135">
        <v>188</v>
      </c>
      <c r="B135">
        <v>28.234472</v>
      </c>
      <c r="C135" t="s">
        <v>8</v>
      </c>
      <c r="D135" t="s">
        <v>9</v>
      </c>
      <c r="E135" t="s">
        <v>10</v>
      </c>
      <c r="F135">
        <v>54</v>
      </c>
      <c r="G135">
        <v>4.9201000000000002E-2</v>
      </c>
      <c r="H135" t="s">
        <v>74</v>
      </c>
      <c r="J135">
        <f t="shared" si="2"/>
        <v>4.9300000000000004E-2</v>
      </c>
    </row>
    <row r="136" spans="1:10" x14ac:dyDescent="0.3">
      <c r="A136">
        <v>189</v>
      </c>
      <c r="B136">
        <v>28.718710999999999</v>
      </c>
      <c r="C136" t="s">
        <v>8</v>
      </c>
      <c r="D136" t="s">
        <v>21</v>
      </c>
      <c r="E136" t="s">
        <v>10</v>
      </c>
      <c r="F136">
        <v>66</v>
      </c>
      <c r="G136">
        <v>0.48423899999999998</v>
      </c>
      <c r="H136" t="s">
        <v>75</v>
      </c>
      <c r="J136">
        <f t="shared" si="2"/>
        <v>0.48430000000000001</v>
      </c>
    </row>
    <row r="137" spans="1:10" x14ac:dyDescent="0.3">
      <c r="A137">
        <v>190</v>
      </c>
      <c r="B137">
        <v>28.752963999999999</v>
      </c>
      <c r="C137" t="s">
        <v>21</v>
      </c>
      <c r="D137" t="s">
        <v>8</v>
      </c>
      <c r="E137" t="s">
        <v>10</v>
      </c>
      <c r="F137">
        <v>60</v>
      </c>
      <c r="G137">
        <v>3.4252999999999999E-2</v>
      </c>
      <c r="H137" t="s">
        <v>76</v>
      </c>
      <c r="J137">
        <f t="shared" si="2"/>
        <v>3.4300000000000004E-2</v>
      </c>
    </row>
    <row r="138" spans="1:10" x14ac:dyDescent="0.3">
      <c r="A138">
        <v>191</v>
      </c>
      <c r="B138">
        <v>28.888635000000001</v>
      </c>
      <c r="C138" t="s">
        <v>9</v>
      </c>
      <c r="D138" t="s">
        <v>8</v>
      </c>
      <c r="E138" t="s">
        <v>14</v>
      </c>
      <c r="F138">
        <v>71</v>
      </c>
      <c r="G138">
        <v>0.13567100000000001</v>
      </c>
      <c r="H138" t="s">
        <v>24</v>
      </c>
      <c r="J138">
        <f t="shared" si="2"/>
        <v>0.13569999999999999</v>
      </c>
    </row>
    <row r="139" spans="1:10" x14ac:dyDescent="0.3">
      <c r="A139">
        <v>192</v>
      </c>
      <c r="B139">
        <v>28.935206000000001</v>
      </c>
      <c r="C139" t="s">
        <v>8</v>
      </c>
      <c r="D139" t="s">
        <v>9</v>
      </c>
      <c r="E139" t="s">
        <v>10</v>
      </c>
      <c r="F139">
        <v>54</v>
      </c>
      <c r="G139">
        <v>4.6571000000000001E-2</v>
      </c>
      <c r="H139" t="s">
        <v>77</v>
      </c>
      <c r="J139">
        <f t="shared" si="2"/>
        <v>4.6600000000000003E-2</v>
      </c>
    </row>
    <row r="140" spans="1:10" x14ac:dyDescent="0.3">
      <c r="A140">
        <v>194</v>
      </c>
      <c r="B140">
        <v>29.262383</v>
      </c>
      <c r="C140" t="s">
        <v>8</v>
      </c>
      <c r="D140" t="s">
        <v>21</v>
      </c>
      <c r="E140" t="s">
        <v>10</v>
      </c>
      <c r="F140">
        <v>66</v>
      </c>
      <c r="G140">
        <v>0.327177</v>
      </c>
      <c r="H140" t="s">
        <v>78</v>
      </c>
      <c r="J140">
        <f t="shared" si="2"/>
        <v>0.32719999999999999</v>
      </c>
    </row>
    <row r="141" spans="1:10" x14ac:dyDescent="0.3">
      <c r="A141">
        <v>195</v>
      </c>
      <c r="B141">
        <v>29.278054999999998</v>
      </c>
      <c r="C141" t="s">
        <v>21</v>
      </c>
      <c r="D141" t="s">
        <v>8</v>
      </c>
      <c r="E141" t="s">
        <v>10</v>
      </c>
      <c r="F141">
        <v>60</v>
      </c>
      <c r="G141">
        <v>1.5671999999999998E-2</v>
      </c>
      <c r="H141" t="s">
        <v>76</v>
      </c>
      <c r="J141">
        <f t="shared" si="2"/>
        <v>1.5699999999999999E-2</v>
      </c>
    </row>
    <row r="142" spans="1:10" x14ac:dyDescent="0.3">
      <c r="A142">
        <v>196</v>
      </c>
      <c r="B142">
        <v>29.396291000000002</v>
      </c>
      <c r="C142" t="s">
        <v>8</v>
      </c>
      <c r="D142" t="s">
        <v>9</v>
      </c>
      <c r="E142" t="s">
        <v>14</v>
      </c>
      <c r="F142">
        <v>71</v>
      </c>
      <c r="G142">
        <v>0.11823599999999999</v>
      </c>
      <c r="H142" t="s">
        <v>24</v>
      </c>
      <c r="J142">
        <f t="shared" si="2"/>
        <v>0.1183</v>
      </c>
    </row>
    <row r="143" spans="1:10" x14ac:dyDescent="0.3">
      <c r="A143">
        <v>197</v>
      </c>
      <c r="B143">
        <v>29.4009</v>
      </c>
      <c r="C143" t="s">
        <v>9</v>
      </c>
      <c r="D143" t="s">
        <v>8</v>
      </c>
      <c r="E143" t="s">
        <v>14</v>
      </c>
      <c r="F143">
        <v>71</v>
      </c>
      <c r="G143">
        <v>4.6090000000000002E-3</v>
      </c>
      <c r="H143" t="s">
        <v>24</v>
      </c>
      <c r="J143">
        <f t="shared" si="2"/>
        <v>4.7000000000000002E-3</v>
      </c>
    </row>
    <row r="144" spans="1:10" x14ac:dyDescent="0.3">
      <c r="A144">
        <v>198</v>
      </c>
      <c r="B144">
        <v>29.448702000000001</v>
      </c>
      <c r="C144" t="s">
        <v>8</v>
      </c>
      <c r="D144" t="s">
        <v>9</v>
      </c>
      <c r="E144" t="s">
        <v>10</v>
      </c>
      <c r="F144">
        <v>54</v>
      </c>
      <c r="G144">
        <v>4.7801999999999997E-2</v>
      </c>
      <c r="H144" t="s">
        <v>79</v>
      </c>
      <c r="J144">
        <f t="shared" si="2"/>
        <v>4.7900000000000005E-2</v>
      </c>
    </row>
    <row r="145" spans="1:10" x14ac:dyDescent="0.3">
      <c r="A145">
        <v>199</v>
      </c>
      <c r="B145">
        <v>29.790642999999999</v>
      </c>
      <c r="C145" t="s">
        <v>8</v>
      </c>
      <c r="D145" t="s">
        <v>21</v>
      </c>
      <c r="E145" t="s">
        <v>10</v>
      </c>
      <c r="F145">
        <v>66</v>
      </c>
      <c r="G145">
        <v>0.34194099999999999</v>
      </c>
      <c r="H145" t="s">
        <v>78</v>
      </c>
      <c r="J145">
        <f t="shared" si="2"/>
        <v>0.34199999999999997</v>
      </c>
    </row>
    <row r="146" spans="1:10" x14ac:dyDescent="0.3">
      <c r="A146">
        <v>200</v>
      </c>
      <c r="B146">
        <v>29.851262999999999</v>
      </c>
      <c r="C146" t="s">
        <v>21</v>
      </c>
      <c r="D146" t="s">
        <v>8</v>
      </c>
      <c r="E146" t="s">
        <v>10</v>
      </c>
      <c r="F146">
        <v>60</v>
      </c>
      <c r="G146">
        <v>6.062E-2</v>
      </c>
      <c r="H146" t="s">
        <v>76</v>
      </c>
      <c r="J146">
        <f t="shared" si="2"/>
        <v>6.0700000000000004E-2</v>
      </c>
    </row>
    <row r="147" spans="1:10" x14ac:dyDescent="0.3">
      <c r="A147">
        <v>201</v>
      </c>
      <c r="B147">
        <v>30.035667</v>
      </c>
      <c r="C147" t="s">
        <v>9</v>
      </c>
      <c r="D147" t="s">
        <v>8</v>
      </c>
      <c r="E147" t="s">
        <v>14</v>
      </c>
      <c r="F147">
        <v>71</v>
      </c>
      <c r="G147">
        <v>0.18440400000000001</v>
      </c>
      <c r="H147" t="s">
        <v>24</v>
      </c>
      <c r="J147">
        <f t="shared" si="2"/>
        <v>0.1845</v>
      </c>
    </row>
    <row r="148" spans="1:10" x14ac:dyDescent="0.3">
      <c r="A148">
        <v>202</v>
      </c>
      <c r="B148">
        <v>30.086306</v>
      </c>
      <c r="C148" t="s">
        <v>8</v>
      </c>
      <c r="D148" t="s">
        <v>9</v>
      </c>
      <c r="E148" t="s">
        <v>10</v>
      </c>
      <c r="F148">
        <v>54</v>
      </c>
      <c r="G148">
        <v>5.0639000000000003E-2</v>
      </c>
      <c r="H148" t="s">
        <v>80</v>
      </c>
      <c r="J148">
        <f t="shared" si="2"/>
        <v>5.0700000000000002E-2</v>
      </c>
    </row>
    <row r="149" spans="1:10" x14ac:dyDescent="0.3">
      <c r="A149">
        <v>203</v>
      </c>
      <c r="B149">
        <v>30.366074999999999</v>
      </c>
      <c r="C149" t="s">
        <v>8</v>
      </c>
      <c r="D149" t="s">
        <v>21</v>
      </c>
      <c r="E149" t="s">
        <v>10</v>
      </c>
      <c r="F149">
        <v>66</v>
      </c>
      <c r="G149">
        <v>0.27976899999999999</v>
      </c>
      <c r="H149" t="s">
        <v>78</v>
      </c>
      <c r="J149">
        <f t="shared" si="2"/>
        <v>0.27979999999999999</v>
      </c>
    </row>
    <row r="150" spans="1:10" x14ac:dyDescent="0.3">
      <c r="A150">
        <v>204</v>
      </c>
      <c r="B150">
        <v>30.464988000000002</v>
      </c>
      <c r="C150" t="s">
        <v>21</v>
      </c>
      <c r="D150" t="s">
        <v>8</v>
      </c>
      <c r="E150" t="s">
        <v>10</v>
      </c>
      <c r="F150">
        <v>60</v>
      </c>
      <c r="G150">
        <v>9.8913000000000001E-2</v>
      </c>
      <c r="H150" t="s">
        <v>76</v>
      </c>
      <c r="J150">
        <f t="shared" si="2"/>
        <v>9.9000000000000005E-2</v>
      </c>
    </row>
    <row r="151" spans="1:10" x14ac:dyDescent="0.3">
      <c r="A151">
        <v>205</v>
      </c>
      <c r="B151">
        <v>30.972237</v>
      </c>
      <c r="C151" t="s">
        <v>8</v>
      </c>
      <c r="D151" t="s">
        <v>21</v>
      </c>
      <c r="E151" t="s">
        <v>10</v>
      </c>
      <c r="F151">
        <v>66</v>
      </c>
      <c r="G151">
        <v>0.50724899999999995</v>
      </c>
      <c r="H151" t="s">
        <v>78</v>
      </c>
      <c r="J151">
        <f t="shared" si="2"/>
        <v>0.50729999999999997</v>
      </c>
    </row>
    <row r="152" spans="1:10" x14ac:dyDescent="0.3">
      <c r="A152">
        <v>207</v>
      </c>
      <c r="B152">
        <v>31.079796000000002</v>
      </c>
      <c r="C152" t="s">
        <v>21</v>
      </c>
      <c r="D152" t="s">
        <v>8</v>
      </c>
      <c r="E152" t="s">
        <v>10</v>
      </c>
      <c r="F152">
        <v>60</v>
      </c>
      <c r="G152">
        <v>0.107559</v>
      </c>
      <c r="H152" t="s">
        <v>76</v>
      </c>
      <c r="J152">
        <f t="shared" si="2"/>
        <v>0.1076</v>
      </c>
    </row>
    <row r="153" spans="1:10" x14ac:dyDescent="0.3">
      <c r="A153">
        <v>208</v>
      </c>
      <c r="B153">
        <v>32.955095</v>
      </c>
      <c r="C153" t="s">
        <v>8</v>
      </c>
      <c r="D153" t="s">
        <v>51</v>
      </c>
      <c r="E153" t="s">
        <v>10</v>
      </c>
      <c r="F153">
        <v>66</v>
      </c>
      <c r="G153">
        <v>1.875299</v>
      </c>
      <c r="H153" t="s">
        <v>56</v>
      </c>
      <c r="J153">
        <f t="shared" si="2"/>
        <v>1.8753</v>
      </c>
    </row>
    <row r="154" spans="1:10" x14ac:dyDescent="0.3">
      <c r="A154">
        <v>209</v>
      </c>
      <c r="B154">
        <v>32.955112999999997</v>
      </c>
      <c r="C154" t="s">
        <v>8</v>
      </c>
      <c r="D154" t="s">
        <v>49</v>
      </c>
      <c r="E154" t="s">
        <v>10</v>
      </c>
      <c r="F154">
        <v>66</v>
      </c>
      <c r="G154">
        <v>1.8E-5</v>
      </c>
      <c r="H154" t="s">
        <v>55</v>
      </c>
      <c r="J154">
        <f t="shared" si="2"/>
        <v>1E-4</v>
      </c>
    </row>
    <row r="155" spans="1:10" x14ac:dyDescent="0.3">
      <c r="A155">
        <v>211</v>
      </c>
      <c r="B155">
        <v>33.836041999999999</v>
      </c>
      <c r="C155" t="s">
        <v>8</v>
      </c>
      <c r="D155" t="s">
        <v>81</v>
      </c>
      <c r="E155" t="s">
        <v>10</v>
      </c>
      <c r="F155">
        <v>55</v>
      </c>
      <c r="G155">
        <v>0.88092899999999996</v>
      </c>
      <c r="H155" t="s">
        <v>82</v>
      </c>
      <c r="J155">
        <f t="shared" si="2"/>
        <v>0.88100000000000001</v>
      </c>
    </row>
    <row r="156" spans="1:10" x14ac:dyDescent="0.3">
      <c r="A156">
        <v>212</v>
      </c>
      <c r="B156">
        <v>33.992289999999997</v>
      </c>
      <c r="C156" t="s">
        <v>8</v>
      </c>
      <c r="D156" t="s">
        <v>57</v>
      </c>
      <c r="E156" t="s">
        <v>10</v>
      </c>
      <c r="F156">
        <v>66</v>
      </c>
      <c r="G156">
        <v>0.156248</v>
      </c>
      <c r="H156" t="s">
        <v>59</v>
      </c>
      <c r="J156">
        <f t="shared" si="2"/>
        <v>0.15629999999999999</v>
      </c>
    </row>
    <row r="157" spans="1:10" x14ac:dyDescent="0.3">
      <c r="A157">
        <v>213</v>
      </c>
      <c r="B157">
        <v>34.101047999999999</v>
      </c>
      <c r="C157" t="s">
        <v>81</v>
      </c>
      <c r="D157" t="s">
        <v>8</v>
      </c>
      <c r="E157" t="s">
        <v>10</v>
      </c>
      <c r="F157">
        <v>66</v>
      </c>
      <c r="G157">
        <v>0.10875799999999999</v>
      </c>
      <c r="H157" t="s">
        <v>83</v>
      </c>
      <c r="J157">
        <f t="shared" si="2"/>
        <v>0.10880000000000001</v>
      </c>
    </row>
    <row r="158" spans="1:10" x14ac:dyDescent="0.3">
      <c r="A158">
        <v>221</v>
      </c>
      <c r="B158">
        <v>41.104959000000001</v>
      </c>
      <c r="C158" t="s">
        <v>8</v>
      </c>
      <c r="D158" t="s">
        <v>21</v>
      </c>
      <c r="E158" t="s">
        <v>10</v>
      </c>
      <c r="F158">
        <v>66</v>
      </c>
      <c r="G158">
        <v>7.0039110000000004</v>
      </c>
      <c r="H158" t="s">
        <v>84</v>
      </c>
      <c r="J158">
        <f t="shared" si="2"/>
        <v>7.0039999999999996</v>
      </c>
    </row>
    <row r="159" spans="1:10" x14ac:dyDescent="0.3">
      <c r="A159">
        <v>222</v>
      </c>
      <c r="B159">
        <v>41.216301999999999</v>
      </c>
      <c r="C159" t="s">
        <v>21</v>
      </c>
      <c r="D159" t="s">
        <v>8</v>
      </c>
      <c r="E159" t="s">
        <v>10</v>
      </c>
      <c r="F159">
        <v>60</v>
      </c>
      <c r="G159">
        <v>0.111343</v>
      </c>
      <c r="H159" t="s">
        <v>85</v>
      </c>
      <c r="J159">
        <f t="shared" si="2"/>
        <v>0.1114</v>
      </c>
    </row>
    <row r="160" spans="1:10" x14ac:dyDescent="0.3">
      <c r="A160">
        <v>223</v>
      </c>
      <c r="B160">
        <v>41.729118</v>
      </c>
      <c r="C160" t="s">
        <v>8</v>
      </c>
      <c r="D160" t="s">
        <v>21</v>
      </c>
      <c r="E160" t="s">
        <v>10</v>
      </c>
      <c r="F160">
        <v>66</v>
      </c>
      <c r="G160">
        <v>0.51281600000000005</v>
      </c>
      <c r="H160" t="s">
        <v>86</v>
      </c>
      <c r="J160">
        <f t="shared" si="2"/>
        <v>0.51290000000000002</v>
      </c>
    </row>
    <row r="161" spans="1:10" x14ac:dyDescent="0.3">
      <c r="A161">
        <v>224</v>
      </c>
      <c r="B161">
        <v>41.830036999999997</v>
      </c>
      <c r="C161" t="s">
        <v>21</v>
      </c>
      <c r="D161" t="s">
        <v>8</v>
      </c>
      <c r="E161" t="s">
        <v>10</v>
      </c>
      <c r="F161">
        <v>60</v>
      </c>
      <c r="G161">
        <v>0.10091899999999999</v>
      </c>
      <c r="H161" t="s">
        <v>85</v>
      </c>
      <c r="J161">
        <f t="shared" si="2"/>
        <v>0.10100000000000001</v>
      </c>
    </row>
    <row r="162" spans="1:10" x14ac:dyDescent="0.3">
      <c r="A162">
        <v>225</v>
      </c>
      <c r="B162">
        <v>42.341321999999998</v>
      </c>
      <c r="C162" t="s">
        <v>8</v>
      </c>
      <c r="D162" t="s">
        <v>21</v>
      </c>
      <c r="E162" t="s">
        <v>10</v>
      </c>
      <c r="F162">
        <v>66</v>
      </c>
      <c r="G162">
        <v>0.51128499999999999</v>
      </c>
      <c r="H162" t="s">
        <v>86</v>
      </c>
      <c r="J162">
        <f t="shared" si="2"/>
        <v>0.51129999999999998</v>
      </c>
    </row>
    <row r="163" spans="1:10" x14ac:dyDescent="0.3">
      <c r="A163">
        <v>226</v>
      </c>
      <c r="B163">
        <v>42.438744</v>
      </c>
      <c r="C163" t="s">
        <v>21</v>
      </c>
      <c r="D163" t="s">
        <v>8</v>
      </c>
      <c r="E163" t="s">
        <v>10</v>
      </c>
      <c r="F163">
        <v>60</v>
      </c>
      <c r="G163">
        <v>9.7421999999999995E-2</v>
      </c>
      <c r="H163" t="s">
        <v>85</v>
      </c>
      <c r="J163">
        <f t="shared" si="2"/>
        <v>9.7500000000000003E-2</v>
      </c>
    </row>
    <row r="164" spans="1:10" x14ac:dyDescent="0.3">
      <c r="A164">
        <v>227</v>
      </c>
      <c r="B164">
        <v>42.952863000000001</v>
      </c>
      <c r="C164" t="s">
        <v>8</v>
      </c>
      <c r="D164" t="s">
        <v>21</v>
      </c>
      <c r="E164" t="s">
        <v>10</v>
      </c>
      <c r="F164">
        <v>66</v>
      </c>
      <c r="G164">
        <v>0.51411899999999999</v>
      </c>
      <c r="H164" t="s">
        <v>86</v>
      </c>
      <c r="J164">
        <f t="shared" si="2"/>
        <v>0.51419999999999999</v>
      </c>
    </row>
    <row r="165" spans="1:10" x14ac:dyDescent="0.3">
      <c r="A165">
        <v>228</v>
      </c>
      <c r="B165">
        <v>43.060048000000002</v>
      </c>
      <c r="C165" t="s">
        <v>21</v>
      </c>
      <c r="D165" t="s">
        <v>8</v>
      </c>
      <c r="E165" t="s">
        <v>10</v>
      </c>
      <c r="F165">
        <v>60</v>
      </c>
      <c r="G165">
        <v>0.107185</v>
      </c>
      <c r="H165" t="s">
        <v>85</v>
      </c>
      <c r="J165">
        <f t="shared" si="2"/>
        <v>0.1072</v>
      </c>
    </row>
    <row r="166" spans="1:10" x14ac:dyDescent="0.3">
      <c r="A166">
        <v>230</v>
      </c>
      <c r="B166">
        <v>43.565545999999998</v>
      </c>
      <c r="C166" t="s">
        <v>8</v>
      </c>
      <c r="D166" t="s">
        <v>21</v>
      </c>
      <c r="E166" t="s">
        <v>10</v>
      </c>
      <c r="F166">
        <v>66</v>
      </c>
      <c r="G166">
        <v>0.505498</v>
      </c>
      <c r="H166" t="s">
        <v>86</v>
      </c>
      <c r="J166">
        <f t="shared" si="2"/>
        <v>0.50549999999999995</v>
      </c>
    </row>
    <row r="167" spans="1:10" x14ac:dyDescent="0.3">
      <c r="A167">
        <v>231</v>
      </c>
      <c r="B167">
        <v>43.672469999999997</v>
      </c>
      <c r="C167" t="s">
        <v>21</v>
      </c>
      <c r="D167" t="s">
        <v>8</v>
      </c>
      <c r="E167" t="s">
        <v>10</v>
      </c>
      <c r="F167">
        <v>60</v>
      </c>
      <c r="G167">
        <v>0.10692400000000001</v>
      </c>
      <c r="H167" t="s">
        <v>85</v>
      </c>
      <c r="J167">
        <f t="shared" si="2"/>
        <v>0.107</v>
      </c>
    </row>
    <row r="168" spans="1:10" x14ac:dyDescent="0.3">
      <c r="A168">
        <v>248</v>
      </c>
      <c r="B168">
        <v>47.562494000000001</v>
      </c>
      <c r="C168" t="s">
        <v>8</v>
      </c>
      <c r="D168" t="s">
        <v>81</v>
      </c>
      <c r="E168" t="s">
        <v>10</v>
      </c>
      <c r="F168">
        <v>55</v>
      </c>
      <c r="G168">
        <v>3.8900239999999999</v>
      </c>
      <c r="H168" t="s">
        <v>87</v>
      </c>
      <c r="J168">
        <f t="shared" si="2"/>
        <v>3.8901000000000003</v>
      </c>
    </row>
    <row r="169" spans="1:10" x14ac:dyDescent="0.3">
      <c r="A169">
        <v>249</v>
      </c>
      <c r="B169">
        <v>47.828619000000003</v>
      </c>
      <c r="C169" t="s">
        <v>81</v>
      </c>
      <c r="D169" t="s">
        <v>8</v>
      </c>
      <c r="E169" t="s">
        <v>10</v>
      </c>
      <c r="F169">
        <v>66</v>
      </c>
      <c r="G169">
        <v>0.266125</v>
      </c>
      <c r="H169" t="s">
        <v>88</v>
      </c>
      <c r="J169">
        <f t="shared" si="2"/>
        <v>0.26619999999999999</v>
      </c>
    </row>
    <row r="170" spans="1:10" x14ac:dyDescent="0.3">
      <c r="A170">
        <v>257</v>
      </c>
      <c r="B170">
        <v>53.698002000000002</v>
      </c>
      <c r="C170" t="s">
        <v>8</v>
      </c>
      <c r="D170" t="s">
        <v>21</v>
      </c>
      <c r="E170" t="s">
        <v>10</v>
      </c>
      <c r="F170">
        <v>66</v>
      </c>
      <c r="G170">
        <v>5.869383</v>
      </c>
      <c r="H170" t="s">
        <v>89</v>
      </c>
      <c r="J170">
        <f t="shared" si="2"/>
        <v>5.8693999999999997</v>
      </c>
    </row>
    <row r="171" spans="1:10" x14ac:dyDescent="0.3">
      <c r="A171">
        <v>258</v>
      </c>
      <c r="B171">
        <v>53.811070000000001</v>
      </c>
      <c r="C171" t="s">
        <v>21</v>
      </c>
      <c r="D171" t="s">
        <v>8</v>
      </c>
      <c r="E171" t="s">
        <v>10</v>
      </c>
      <c r="F171">
        <v>60</v>
      </c>
      <c r="G171">
        <v>0.113068</v>
      </c>
      <c r="H171" t="s">
        <v>90</v>
      </c>
      <c r="J171">
        <f t="shared" si="2"/>
        <v>0.11310000000000001</v>
      </c>
    </row>
    <row r="172" spans="1:10" x14ac:dyDescent="0.3">
      <c r="A172">
        <v>259</v>
      </c>
      <c r="B172">
        <v>54.321249000000002</v>
      </c>
      <c r="C172" t="s">
        <v>8</v>
      </c>
      <c r="D172" t="s">
        <v>21</v>
      </c>
      <c r="E172" t="s">
        <v>10</v>
      </c>
      <c r="F172">
        <v>66</v>
      </c>
      <c r="G172">
        <v>0.51017900000000005</v>
      </c>
      <c r="H172" t="s">
        <v>91</v>
      </c>
      <c r="J172">
        <f t="shared" si="2"/>
        <v>0.51019999999999999</v>
      </c>
    </row>
    <row r="173" spans="1:10" x14ac:dyDescent="0.3">
      <c r="A173">
        <v>260</v>
      </c>
      <c r="B173">
        <v>54.429307999999999</v>
      </c>
      <c r="C173" t="s">
        <v>21</v>
      </c>
      <c r="D173" t="s">
        <v>8</v>
      </c>
      <c r="E173" t="s">
        <v>10</v>
      </c>
      <c r="F173">
        <v>60</v>
      </c>
      <c r="G173">
        <v>0.108059</v>
      </c>
      <c r="H173" t="s">
        <v>90</v>
      </c>
      <c r="J173">
        <f t="shared" si="2"/>
        <v>0.1081</v>
      </c>
    </row>
    <row r="174" spans="1:10" x14ac:dyDescent="0.3">
      <c r="A174">
        <v>261</v>
      </c>
      <c r="B174">
        <v>54.929834999999997</v>
      </c>
      <c r="C174" t="s">
        <v>8</v>
      </c>
      <c r="D174" t="s">
        <v>21</v>
      </c>
      <c r="E174" t="s">
        <v>10</v>
      </c>
      <c r="F174">
        <v>66</v>
      </c>
      <c r="G174">
        <v>0.50052700000000006</v>
      </c>
      <c r="H174" t="s">
        <v>91</v>
      </c>
      <c r="J174">
        <f t="shared" si="2"/>
        <v>0.50059999999999993</v>
      </c>
    </row>
    <row r="175" spans="1:10" x14ac:dyDescent="0.3">
      <c r="A175">
        <v>262</v>
      </c>
      <c r="B175">
        <v>55.041193999999997</v>
      </c>
      <c r="C175" t="s">
        <v>21</v>
      </c>
      <c r="D175" t="s">
        <v>8</v>
      </c>
      <c r="E175" t="s">
        <v>10</v>
      </c>
      <c r="F175">
        <v>60</v>
      </c>
      <c r="G175">
        <v>0.111359</v>
      </c>
      <c r="H175" t="s">
        <v>90</v>
      </c>
      <c r="J175">
        <f t="shared" si="2"/>
        <v>0.1114</v>
      </c>
    </row>
    <row r="176" spans="1:10" x14ac:dyDescent="0.3">
      <c r="A176">
        <v>264</v>
      </c>
      <c r="B176">
        <v>55.555995000000003</v>
      </c>
      <c r="C176" t="s">
        <v>8</v>
      </c>
      <c r="D176" t="s">
        <v>21</v>
      </c>
      <c r="E176" t="s">
        <v>10</v>
      </c>
      <c r="F176">
        <v>66</v>
      </c>
      <c r="G176">
        <v>0.51480099999999995</v>
      </c>
      <c r="H176" t="s">
        <v>91</v>
      </c>
      <c r="J176">
        <f t="shared" si="2"/>
        <v>0.51490000000000002</v>
      </c>
    </row>
    <row r="177" spans="1:13" x14ac:dyDescent="0.3">
      <c r="A177">
        <v>265</v>
      </c>
      <c r="B177">
        <v>55.656730000000003</v>
      </c>
      <c r="C177" t="s">
        <v>21</v>
      </c>
      <c r="D177" t="s">
        <v>8</v>
      </c>
      <c r="E177" t="s">
        <v>10</v>
      </c>
      <c r="F177">
        <v>60</v>
      </c>
      <c r="G177">
        <v>0.10073500000000001</v>
      </c>
      <c r="H177" t="s">
        <v>90</v>
      </c>
      <c r="J177">
        <f t="shared" si="2"/>
        <v>0.1008</v>
      </c>
    </row>
    <row r="178" spans="1:13" x14ac:dyDescent="0.3">
      <c r="A178">
        <v>266</v>
      </c>
      <c r="B178">
        <v>56.162680999999999</v>
      </c>
      <c r="C178" t="s">
        <v>8</v>
      </c>
      <c r="D178" t="s">
        <v>21</v>
      </c>
      <c r="E178" t="s">
        <v>10</v>
      </c>
      <c r="F178">
        <v>66</v>
      </c>
      <c r="G178">
        <v>0.50595100000000004</v>
      </c>
      <c r="H178" t="s">
        <v>91</v>
      </c>
      <c r="J178">
        <f t="shared" si="2"/>
        <v>0.50600000000000001</v>
      </c>
    </row>
    <row r="179" spans="1:13" x14ac:dyDescent="0.3">
      <c r="A179">
        <v>267</v>
      </c>
      <c r="B179">
        <v>56.269829000000001</v>
      </c>
      <c r="C179" t="s">
        <v>21</v>
      </c>
      <c r="D179" t="s">
        <v>8</v>
      </c>
      <c r="E179" t="s">
        <v>10</v>
      </c>
      <c r="F179">
        <v>60</v>
      </c>
      <c r="G179">
        <v>0.10714799999999999</v>
      </c>
      <c r="H179" t="s">
        <v>90</v>
      </c>
      <c r="J179">
        <f t="shared" si="2"/>
        <v>0.1072</v>
      </c>
    </row>
    <row r="180" spans="1:13" x14ac:dyDescent="0.3">
      <c r="A180">
        <v>269</v>
      </c>
      <c r="B180">
        <v>58.045256000000002</v>
      </c>
      <c r="C180" t="s">
        <v>8</v>
      </c>
      <c r="D180" t="s">
        <v>92</v>
      </c>
      <c r="E180" t="s">
        <v>10</v>
      </c>
      <c r="F180">
        <v>66</v>
      </c>
      <c r="G180">
        <v>1.7754270000000001</v>
      </c>
      <c r="H180" t="s">
        <v>93</v>
      </c>
      <c r="J180">
        <f t="shared" si="2"/>
        <v>1.7755000000000001</v>
      </c>
    </row>
    <row r="181" spans="1:13" x14ac:dyDescent="0.3">
      <c r="A181">
        <v>270</v>
      </c>
      <c r="B181">
        <v>58.045617999999997</v>
      </c>
      <c r="C181" t="s">
        <v>8</v>
      </c>
      <c r="D181" t="s">
        <v>94</v>
      </c>
      <c r="E181" t="s">
        <v>10</v>
      </c>
      <c r="F181">
        <v>66</v>
      </c>
      <c r="G181">
        <v>3.6200000000000002E-4</v>
      </c>
      <c r="H181" t="s">
        <v>95</v>
      </c>
      <c r="J181">
        <f t="shared" si="2"/>
        <v>3.9999999999999996E-4</v>
      </c>
    </row>
    <row r="182" spans="1:13" x14ac:dyDescent="0.3">
      <c r="A182">
        <v>277</v>
      </c>
      <c r="B182">
        <v>59.060755</v>
      </c>
      <c r="C182" t="s">
        <v>8</v>
      </c>
      <c r="D182" t="s">
        <v>94</v>
      </c>
      <c r="E182" t="s">
        <v>10</v>
      </c>
      <c r="F182">
        <v>66</v>
      </c>
      <c r="G182">
        <v>1.015137</v>
      </c>
      <c r="H182" t="s">
        <v>96</v>
      </c>
      <c r="J182">
        <f t="shared" si="2"/>
        <v>1.0151999999999999</v>
      </c>
    </row>
    <row r="183" spans="1:13" x14ac:dyDescent="0.3">
      <c r="A183">
        <v>278</v>
      </c>
      <c r="B183">
        <v>59.060755</v>
      </c>
      <c r="C183" t="s">
        <v>8</v>
      </c>
      <c r="D183" t="s">
        <v>92</v>
      </c>
      <c r="E183" t="s">
        <v>10</v>
      </c>
      <c r="F183">
        <v>66</v>
      </c>
      <c r="G183">
        <v>0</v>
      </c>
      <c r="H183" t="s">
        <v>97</v>
      </c>
      <c r="J183">
        <f t="shared" si="2"/>
        <v>0</v>
      </c>
    </row>
    <row r="184" spans="1:13" x14ac:dyDescent="0.3">
      <c r="A184">
        <v>279</v>
      </c>
      <c r="B184">
        <v>59.061627000000001</v>
      </c>
      <c r="C184" t="s">
        <v>8</v>
      </c>
      <c r="D184" t="s">
        <v>98</v>
      </c>
      <c r="E184" t="s">
        <v>10</v>
      </c>
      <c r="F184">
        <v>66</v>
      </c>
      <c r="G184">
        <v>8.7200000000000005E-4</v>
      </c>
      <c r="H184" t="s">
        <v>99</v>
      </c>
      <c r="J184">
        <f t="shared" si="2"/>
        <v>9.0000000000000008E-4</v>
      </c>
    </row>
    <row r="185" spans="1:13" x14ac:dyDescent="0.3">
      <c r="I185" s="2" t="s">
        <v>100</v>
      </c>
      <c r="J185" s="1">
        <f>SUM(J2:J184)</f>
        <v>57.204899999999995</v>
      </c>
      <c r="K185" s="1">
        <v>183</v>
      </c>
      <c r="L185" s="1">
        <f>J185/K185</f>
        <v>0.31259508196721308</v>
      </c>
      <c r="M185" s="1" t="s">
        <v>101</v>
      </c>
    </row>
    <row r="186" spans="1:13" x14ac:dyDescent="0.3">
      <c r="I186" s="1"/>
      <c r="J186" s="1"/>
      <c r="K186" s="1"/>
      <c r="L186" s="3">
        <f>L185*1000</f>
        <v>312.5950819672131</v>
      </c>
      <c r="M186" s="1" t="s">
        <v>102</v>
      </c>
    </row>
    <row r="187" spans="1:13" x14ac:dyDescent="0.3">
      <c r="I187" s="1"/>
      <c r="J187" s="1"/>
      <c r="K187" s="1"/>
      <c r="L187" s="1"/>
      <c r="M187" s="1"/>
    </row>
    <row r="188" spans="1:13" x14ac:dyDescent="0.3">
      <c r="I188" s="2" t="s">
        <v>103</v>
      </c>
      <c r="J188" s="1">
        <v>11721</v>
      </c>
      <c r="K188" s="1" t="s">
        <v>104</v>
      </c>
      <c r="L188" s="1"/>
      <c r="M188" s="1"/>
    </row>
    <row r="189" spans="1:13" x14ac:dyDescent="0.3">
      <c r="I189" s="1"/>
      <c r="J189" s="1">
        <f>J188/J185</f>
        <v>204.89503521551478</v>
      </c>
      <c r="K189" s="1" t="s">
        <v>104</v>
      </c>
      <c r="L189" s="1"/>
      <c r="M189" s="1"/>
    </row>
    <row r="190" spans="1:13" x14ac:dyDescent="0.3">
      <c r="I190" s="1"/>
      <c r="J190" s="1">
        <f>J189*8</f>
        <v>1639.1602817241182</v>
      </c>
      <c r="K190" s="1" t="s">
        <v>105</v>
      </c>
      <c r="L190" s="1"/>
      <c r="M190" s="1"/>
    </row>
    <row r="191" spans="1:13" x14ac:dyDescent="0.3">
      <c r="I191" s="1"/>
      <c r="J191" s="3">
        <f>J190/1000</f>
        <v>1.6391602817241182</v>
      </c>
      <c r="K191" s="1" t="s">
        <v>106</v>
      </c>
      <c r="L191" s="1"/>
      <c r="M191" s="1"/>
    </row>
    <row r="192" spans="1:13" x14ac:dyDescent="0.3">
      <c r="I192" s="1"/>
      <c r="J192" s="1"/>
      <c r="K192" s="1"/>
      <c r="L192" s="1"/>
      <c r="M192" s="1"/>
    </row>
    <row r="193" spans="9:13" x14ac:dyDescent="0.3">
      <c r="I193" s="2" t="s">
        <v>107</v>
      </c>
      <c r="J193" s="1">
        <v>183</v>
      </c>
      <c r="K193" s="1" t="s">
        <v>108</v>
      </c>
      <c r="L193" s="1"/>
      <c r="M193" s="1"/>
    </row>
    <row r="194" spans="9:13" x14ac:dyDescent="0.3">
      <c r="I194" s="1"/>
      <c r="J194" s="1">
        <v>0</v>
      </c>
      <c r="K194" s="1" t="s">
        <v>109</v>
      </c>
      <c r="L194" s="1"/>
      <c r="M194" s="1"/>
    </row>
    <row r="195" spans="9:13" x14ac:dyDescent="0.3">
      <c r="I195" s="1"/>
      <c r="J195" s="3">
        <f>(J194/J193)*100%</f>
        <v>0</v>
      </c>
      <c r="K195" s="1" t="s">
        <v>110</v>
      </c>
      <c r="L195" s="1"/>
      <c r="M19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2025-03-08T12:15:10Z</dcterms:created>
  <dcterms:modified xsi:type="dcterms:W3CDTF">2025-04-30T08:08:27Z</dcterms:modified>
</cp:coreProperties>
</file>