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0\Excel\"/>
    </mc:Choice>
  </mc:AlternateContent>
  <xr:revisionPtr revIDLastSave="0" documentId="13_ncr:1_{6E590380-B684-4588-9542-C319B1940D15}" xr6:coauthVersionLast="47" xr6:coauthVersionMax="47" xr10:uidLastSave="{00000000-0000-0000-0000-000000000000}"/>
  <bookViews>
    <workbookView xWindow="-108" yWindow="-108" windowWidth="23256" windowHeight="13176" xr2:uid="{8EA9E901-F29D-4ACA-9B2B-802D7B1A2D83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19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3" i="1"/>
  <c r="J181" i="1" s="1"/>
  <c r="L181" i="1" l="1"/>
  <c r="L182" i="1" s="1"/>
  <c r="J185" i="1"/>
  <c r="J186" i="1" s="1"/>
  <c r="J187" i="1" s="1"/>
</calcChain>
</file>

<file path=xl/sharedStrings.xml><?xml version="1.0" encoding="utf-8"?>
<sst xmlns="http://schemas.openxmlformats.org/spreadsheetml/2006/main" count="736" uniqueCount="111">
  <si>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</si>
  <si>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</si>
  <si>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</si>
  <si>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</si>
  <si>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</si>
  <si>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</si>
  <si>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</si>
  <si>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</si>
  <si>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</si>
  <si>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10.10.200.223</t>
  </si>
  <si>
    <t>TCP</t>
  </si>
  <si>
    <t>57346  &gt;  80 [SYN] Seq=0 Win=64240 Len=0 MSS=1460 WS=256 SACK_PERM</t>
  </si>
  <si>
    <t>80  &gt;  57346 [RST, ACK] Seq=1 Ack=1 Win=0 Len=0</t>
  </si>
  <si>
    <t>[TCP Port numbers reused] 57346  &gt;  80 [SYN] Seq=0 Win=64240 Len=0 MSS=1460 WS=256 SACK_PERM</t>
  </si>
  <si>
    <t>192.168.2.4</t>
  </si>
  <si>
    <t>57347  &gt;  1883 [SYN] Seq=0 Win=64240 Len=0 MSS=1460 WS=256 SACK_PERM</t>
  </si>
  <si>
    <t>1883  &gt;  57347 [SYN, ACK] Seq=0 Ack=1 Win=64240 Len=0 MSS=1460 SACK_PERM WS=128</t>
  </si>
  <si>
    <t>57347  &gt;  1883 [ACK] Seq=1 Ack=1 Win=131328 Len=0</t>
  </si>
  <si>
    <t>MQTT</t>
  </si>
  <si>
    <t>Connect Command</t>
  </si>
  <si>
    <t>1883  &gt;  57347 [ACK] Seq=1 Ack=46 Win=64256 Len=0</t>
  </si>
  <si>
    <t>Connect Ack</t>
  </si>
  <si>
    <t>57347  &gt;  1883 [ACK] Seq=46 Ack=5 Win=131328 Len=0</t>
  </si>
  <si>
    <t>Subscribe Request (id=59449) [test/QoS/]</t>
  </si>
  <si>
    <t>Subscribe Ack (id=59449)</t>
  </si>
  <si>
    <t>57347  &gt;  1883 [ACK] Seq=62 Ack=10 Win=131328 Len=0</t>
  </si>
  <si>
    <t>57348  &gt;  80 [SYN] Seq=0 Win=64240 Len=0 MSS=1460 WS=256 SACK_PERM</t>
  </si>
  <si>
    <t>80  &gt;  57348 [RST, ACK] Seq=1 Ack=1 Win=0 Len=0</t>
  </si>
  <si>
    <t>Publish Message [test/QoS/]</t>
  </si>
  <si>
    <t>[TCP Port numbers reused] 57348  &gt;  80 [SYN] Seq=0 Win=64240 Len=0 MSS=1460 WS=256 SACK_PERM</t>
  </si>
  <si>
    <t>57347  &gt;  1883 [ACK] Seq=79 Ack=27 Win=131328 Len=0</t>
  </si>
  <si>
    <t>57347  &gt;  1883 [ACK] Seq=79 Ack=44 Win=131328 Len=0</t>
  </si>
  <si>
    <t>57347  &gt;  1883 [ACK] Seq=96 Ack=61 Win=131328 Len=0</t>
  </si>
  <si>
    <t>57347  &gt;  1883 [ACK] Seq=96 Ack=78 Win=131072 Len=0</t>
  </si>
  <si>
    <t>57347  &gt;  1883 [ACK] Seq=113 Ack=95 Win=131072 Len=0</t>
  </si>
  <si>
    <t>57347  &gt;  1883 [ACK] Seq=113 Ack=112 Win=131072 Len=0</t>
  </si>
  <si>
    <t>57347  &gt;  1883 [ACK] Seq=130 Ack=129 Win=131072 Len=0</t>
  </si>
  <si>
    <t>57347  &gt;  1883 [ACK] Seq=130 Ack=146 Win=131072 Len=0</t>
  </si>
  <si>
    <t>57347  &gt;  1883 [ACK] Seq=147 Ack=163 Win=131072 Len=0</t>
  </si>
  <si>
    <t>57347  &gt;  1883 [ACK] Seq=147 Ack=180 Win=131072 Len=0</t>
  </si>
  <si>
    <t>57347  &gt;  1883 [ACK] Seq=164 Ack=197 Win=131072 Len=0</t>
  </si>
  <si>
    <t>20.189.173.24</t>
  </si>
  <si>
    <t>57349  &gt;  443 [SYN] Seq=0 Win=65535 Len=0 MSS=1460 WS=256 SACK_PERM</t>
  </si>
  <si>
    <t>57347  &gt;  1883 [ACK] Seq=164 Ack=214 Win=131072 Len=0</t>
  </si>
  <si>
    <t>57350  &gt;  80 [SYN] Seq=0 Win=64240 Len=0 MSS=1460 WS=256 SACK_PERM</t>
  </si>
  <si>
    <t>443  &gt;  57349 [SYN, ACK] Seq=0 Ack=1 Win=65535 Len=0 MSS=1440 WS=256 SACK_PERM</t>
  </si>
  <si>
    <t>57349  &gt;  443 [ACK] Seq=1 Ack=1 Win=262144 Len=0</t>
  </si>
  <si>
    <t>TLSv1.2</t>
  </si>
  <si>
    <t>Client Hello (SNI=self.events.data.microsoft.com)</t>
  </si>
  <si>
    <t>80  &gt;  57350 [RST, ACK] Seq=1 Ack=1 Win=0 Len=0</t>
  </si>
  <si>
    <t>443  &gt;  57349 [ACK] Seq=1 Ack=230 Win=4194304 Len=1460 [TCP PDU reassembled in 104]</t>
  </si>
  <si>
    <t>443  &gt;  57349 [ACK] Seq=1461 Ack=230 Win=4194304 Len=1460 [TCP PDU reassembled in 104]</t>
  </si>
  <si>
    <t>443  &gt;  57349 [ACK] Seq=2921 Ack=230 Win=4194304 Len=1460 [TCP PDU reassembled in 104]</t>
  </si>
  <si>
    <t>57349  &gt;  443 [ACK] Seq=230 Ack=4381 Win=262144 Len=0</t>
  </si>
  <si>
    <t>443  &gt;  57349 [ACK] Seq=4381 Ack=230 Win=4194304 Len=1460 [TCP PDU reassembled in 104]</t>
  </si>
  <si>
    <t>Server Hello, Certificate, Certificate Status, Server Key Exchange, Server Hello Done</t>
  </si>
  <si>
    <t>57349  &gt;  443 [ACK] Seq=230 Ack=6321 Win=262144 Len=0</t>
  </si>
  <si>
    <t>Client Key Exchange, Change Cipher Spec, Encrypted Handshake Message</t>
  </si>
  <si>
    <t>Change Cipher Spec, Encrypted Handshake Message</t>
  </si>
  <si>
    <t>57349  &gt;  443 [ACK] Seq=388 Ack=6372 Win=261888 Len=0</t>
  </si>
  <si>
    <t>Application Data</t>
  </si>
  <si>
    <t>443  &gt;  57349 [ACK] Seq=6372 Ack=2286 Win=4194560 Len=0</t>
  </si>
  <si>
    <t>443  &gt;  57349 [ACK] Seq=6372 Ack=5219 Win=4194560 Len=0</t>
  </si>
  <si>
    <t>57349  &gt;  443 [ACK] Seq=5219 Ack=6823 Win=261632 Len=0</t>
  </si>
  <si>
    <t>[TCP Port numbers reused] 57350  &gt;  80 [SYN] Seq=0 Win=64240 Len=0 MSS=1460 WS=256 SACK_PERM</t>
  </si>
  <si>
    <t>57347  &gt;  1883 [ACK] Seq=181 Ack=231 Win=131072 Len=0</t>
  </si>
  <si>
    <t>57347  &gt;  1883 [ACK] Seq=181 Ack=248 Win=131072 Len=0</t>
  </si>
  <si>
    <t>57347  &gt;  1883 [ACK] Seq=198 Ack=265 Win=131072 Len=0</t>
  </si>
  <si>
    <t>57347  &gt;  1883 [ACK] Seq=198 Ack=282 Win=131072 Len=0</t>
  </si>
  <si>
    <t>57347  &gt;  1883 [ACK] Seq=215 Ack=299 Win=131072 Len=0</t>
  </si>
  <si>
    <t>57347  &gt;  1883 [ACK] Seq=215 Ack=316 Win=131072 Len=0</t>
  </si>
  <si>
    <t>57347  &gt;  1883 [ACK] Seq=232 Ack=333 Win=130816 Len=0</t>
  </si>
  <si>
    <t>57347  &gt;  1883 [ACK] Seq=232 Ack=350 Win=130816 Len=0</t>
  </si>
  <si>
    <t>57347  &gt;  1883 [ACK] Seq=249 Ack=367 Win=130816 Len=0</t>
  </si>
  <si>
    <t>57347  &gt;  1883 [ACK] Seq=249 Ack=384 Win=130816 Len=0</t>
  </si>
  <si>
    <t>57347  &gt;  1883 [ACK] Seq=266 Ack=401 Win=130816 Len=0</t>
  </si>
  <si>
    <t>57347  &gt;  1883 [ACK] Seq=266 Ack=418 Win=130816 Len=0</t>
  </si>
  <si>
    <t>57347  &gt;  1883 [ACK] Seq=283 Ack=435 Win=130816 Len=0</t>
  </si>
  <si>
    <t>57351  &gt;  80 [SYN] Seq=0 Win=64240 Len=0 MSS=1460 WS=256 SACK_PERM</t>
  </si>
  <si>
    <t>80  &gt;  57351 [RST, ACK] Seq=1 Ack=1 Win=0 Len=0</t>
  </si>
  <si>
    <t>[TCP Port numbers reused] 57351  &gt;  80 [SYN] Seq=0 Win=64240 Len=0 MSS=1460 WS=256 SACK_PERM</t>
  </si>
  <si>
    <t>57347  &gt;  1883 [ACK] Seq=283 Ack=452 Win=130816 Len=0</t>
  </si>
  <si>
    <t>57347  &gt;  1883 [ACK] Seq=300 Ack=469 Win=130816 Len=0</t>
  </si>
  <si>
    <t>57347  &gt;  1883 [ACK] Seq=300 Ack=486 Win=130816 Len=0</t>
  </si>
  <si>
    <t>[TCP Retransmission] 57351  &gt;  80 [SYN] Seq=0 Win=64240 Len=0 MSS=1460 WS=256 SACK_PERM</t>
  </si>
  <si>
    <t>57347  &gt;  1883 [ACK] Seq=317 Ack=503 Win=130816 Len=0</t>
  </si>
  <si>
    <t>57347  &gt;  1883 [ACK] Seq=317 Ack=520 Win=130816 Len=0</t>
  </si>
  <si>
    <t>57347  &gt;  1883 [ACK] Seq=334 Ack=537 Win=130816 Len=0</t>
  </si>
  <si>
    <t>57347  &gt;  1883 [ACK] Seq=334 Ack=554 Win=130816 Len=0</t>
  </si>
  <si>
    <t>57347  &gt;  1883 [ACK] Seq=351 Ack=571 Win=130816 Len=0</t>
  </si>
  <si>
    <t>57347  &gt;  1883 [ACK] Seq=351 Ack=588 Win=130560 Len=0</t>
  </si>
  <si>
    <t>57347  &gt;  1883 [ACK] Seq=368 Ack=605 Win=130560 Len=0</t>
  </si>
  <si>
    <t>57347  &gt;  1883 [ACK] Seq=368 Ack=622 Win=130560 Len=0</t>
  </si>
  <si>
    <t>57347  &gt;  1883 [ACK] Seq=385 Ack=639 Win=130560 Len=0</t>
  </si>
  <si>
    <t>57347  &gt;  1883 [ACK] Seq=385 Ack=656 Win=130560 Len=0</t>
  </si>
  <si>
    <t>57347  &gt;  1883 [ACK] Seq=402 Ack=673 Win=130560 Len=0</t>
  </si>
  <si>
    <t>57347  &gt;  1883 [ACK] Seq=402 Ack=690 Win=130560 Len=0</t>
  </si>
  <si>
    <t>57352  &gt;  80 [SYN] Seq=0 Win=64240 Len=0 MSS=1460 WS=256 SACK_PERM</t>
  </si>
  <si>
    <t>80  &gt;  57352 [RST, ACK] Seq=1 Ack=1 Win=0 Len=0</t>
  </si>
  <si>
    <t>[TCP Port numbers reused] 57352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</si>
  <si>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</si>
  <si>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</si>
  <si>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</si>
  <si>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</si>
  <si>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</si>
  <si>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</si>
  <si>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</si>
  <si>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 xml:space="preserve">Packet Loss = </t>
  </si>
  <si>
    <t>packets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</si>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</sst>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1041252</xdr:colOff>
      <xdr:row>180</xdr:row>
      <xdr:rowOff>5379</xdr:rowOff>
    </xdr:from>
    <xdr:to>
      <xdr:col>7</xdr:col>
      <xdr:colOff>5916707</xdr:colOff>
      <xdr:row>207</xdr:row>
      <xdr:rowOff>52228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C327A-3A10-2F80-5A03-6B5A998AE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7987" y="32278320"/>
          <a:ext cx="7295926" cy="488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D836-55F4-4162-9138-CC4E39F9F92F}">
  <dimension ref="A1:M191"/>
  <sheetViews>
    <sheetView tabSelected="1" topLeftCell="F177" zoomScale="91" workbookViewId="0">
      <selection activeCell="J196" sqref="J196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2.33203125" bestFit="1" customWidth="1"/>
    <col min="10" max="10" width="7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0.270312</v>
      </c>
      <c r="C3" t="s">
        <v>9</v>
      </c>
      <c r="D3" t="s">
        <v>8</v>
      </c>
      <c r="E3" t="s">
        <v>10</v>
      </c>
      <c r="F3">
        <v>60</v>
      </c>
      <c r="G3">
        <v>0.270312</v>
      </c>
      <c r="H3" t="s">
        <v>12</v>
      </c>
      <c r="J3">
        <f>ROUNDUP(G3,4)</f>
        <v>0.27039999999999997</v>
      </c>
    </row>
    <row r="4" spans="1:10" x14ac:dyDescent="0.3">
      <c r="A4">
        <v>3</v>
      </c>
      <c r="B4">
        <v>0.77299099999999998</v>
      </c>
      <c r="C4" t="s">
        <v>8</v>
      </c>
      <c r="D4" t="s">
        <v>9</v>
      </c>
      <c r="E4" t="s">
        <v>10</v>
      </c>
      <c r="F4">
        <v>66</v>
      </c>
      <c r="G4">
        <v>0.50267899999999999</v>
      </c>
      <c r="H4" t="s">
        <v>13</v>
      </c>
      <c r="J4">
        <f t="shared" ref="J4:J67" si="0">ROUNDUP(G4,4)</f>
        <v>0.50270000000000004</v>
      </c>
    </row>
    <row r="5" spans="1:10" x14ac:dyDescent="0.3">
      <c r="A5">
        <v>4</v>
      </c>
      <c r="B5">
        <v>0.83552099999999996</v>
      </c>
      <c r="C5" t="s">
        <v>9</v>
      </c>
      <c r="D5" t="s">
        <v>8</v>
      </c>
      <c r="E5" t="s">
        <v>10</v>
      </c>
      <c r="F5">
        <v>60</v>
      </c>
      <c r="G5">
        <v>6.2530000000000002E-2</v>
      </c>
      <c r="H5" t="s">
        <v>12</v>
      </c>
      <c r="J5">
        <f t="shared" si="0"/>
        <v>6.2600000000000003E-2</v>
      </c>
    </row>
    <row r="6" spans="1:10" x14ac:dyDescent="0.3">
      <c r="A6">
        <v>5</v>
      </c>
      <c r="B6">
        <v>1.344951</v>
      </c>
      <c r="C6" t="s">
        <v>8</v>
      </c>
      <c r="D6" t="s">
        <v>9</v>
      </c>
      <c r="E6" t="s">
        <v>10</v>
      </c>
      <c r="F6">
        <v>66</v>
      </c>
      <c r="G6">
        <v>0.50943000000000005</v>
      </c>
      <c r="H6" t="s">
        <v>13</v>
      </c>
      <c r="J6">
        <f t="shared" si="0"/>
        <v>0.50949999999999995</v>
      </c>
    </row>
    <row r="7" spans="1:10" x14ac:dyDescent="0.3">
      <c r="A7">
        <v>6</v>
      </c>
      <c r="B7">
        <v>1.695084</v>
      </c>
      <c r="C7" t="s">
        <v>9</v>
      </c>
      <c r="D7" t="s">
        <v>8</v>
      </c>
      <c r="E7" t="s">
        <v>10</v>
      </c>
      <c r="F7">
        <v>60</v>
      </c>
      <c r="G7">
        <v>0.35013300000000003</v>
      </c>
      <c r="H7" t="s">
        <v>12</v>
      </c>
      <c r="J7">
        <f t="shared" si="0"/>
        <v>0.35020000000000001</v>
      </c>
    </row>
    <row r="8" spans="1:10" x14ac:dyDescent="0.3">
      <c r="A8">
        <v>9</v>
      </c>
      <c r="B8">
        <v>2.2053479999999999</v>
      </c>
      <c r="C8" t="s">
        <v>8</v>
      </c>
      <c r="D8" t="s">
        <v>9</v>
      </c>
      <c r="E8" t="s">
        <v>10</v>
      </c>
      <c r="F8">
        <v>66</v>
      </c>
      <c r="G8">
        <v>0.51026400000000005</v>
      </c>
      <c r="H8" t="s">
        <v>13</v>
      </c>
      <c r="J8">
        <f t="shared" si="0"/>
        <v>0.51029999999999998</v>
      </c>
    </row>
    <row r="9" spans="1:10" x14ac:dyDescent="0.3">
      <c r="A9">
        <v>10</v>
      </c>
      <c r="B9">
        <v>2.3009569999999999</v>
      </c>
      <c r="C9" t="s">
        <v>9</v>
      </c>
      <c r="D9" t="s">
        <v>8</v>
      </c>
      <c r="E9" t="s">
        <v>10</v>
      </c>
      <c r="F9">
        <v>60</v>
      </c>
      <c r="G9">
        <v>9.5609E-2</v>
      </c>
      <c r="H9" t="s">
        <v>12</v>
      </c>
      <c r="J9">
        <f t="shared" si="0"/>
        <v>9.5700000000000007E-2</v>
      </c>
    </row>
    <row r="10" spans="1:10" x14ac:dyDescent="0.3">
      <c r="A10">
        <v>11</v>
      </c>
      <c r="B10">
        <v>2.8131930000000001</v>
      </c>
      <c r="C10" t="s">
        <v>8</v>
      </c>
      <c r="D10" t="s">
        <v>9</v>
      </c>
      <c r="E10" t="s">
        <v>10</v>
      </c>
      <c r="F10">
        <v>66</v>
      </c>
      <c r="G10">
        <v>0.51223600000000002</v>
      </c>
      <c r="H10" t="s">
        <v>13</v>
      </c>
      <c r="J10">
        <f t="shared" si="0"/>
        <v>0.51229999999999998</v>
      </c>
    </row>
    <row r="11" spans="1:10" x14ac:dyDescent="0.3">
      <c r="A11">
        <v>12</v>
      </c>
      <c r="B11">
        <v>3.123723</v>
      </c>
      <c r="C11" t="s">
        <v>9</v>
      </c>
      <c r="D11" t="s">
        <v>8</v>
      </c>
      <c r="E11" t="s">
        <v>10</v>
      </c>
      <c r="F11">
        <v>60</v>
      </c>
      <c r="G11">
        <v>0.31052999999999997</v>
      </c>
      <c r="H11" t="s">
        <v>12</v>
      </c>
      <c r="J11">
        <f t="shared" si="0"/>
        <v>0.31059999999999999</v>
      </c>
    </row>
    <row r="12" spans="1:10" x14ac:dyDescent="0.3">
      <c r="A12">
        <v>28</v>
      </c>
      <c r="B12">
        <v>9.9051860000000005</v>
      </c>
      <c r="C12" t="s">
        <v>8</v>
      </c>
      <c r="D12" t="s">
        <v>14</v>
      </c>
      <c r="E12" t="s">
        <v>10</v>
      </c>
      <c r="F12">
        <v>66</v>
      </c>
      <c r="G12">
        <v>6.7814629999999996</v>
      </c>
      <c r="H12" t="s">
        <v>15</v>
      </c>
      <c r="J12">
        <f t="shared" si="0"/>
        <v>6.7814999999999994</v>
      </c>
    </row>
    <row r="13" spans="1:10" x14ac:dyDescent="0.3">
      <c r="A13">
        <v>29</v>
      </c>
      <c r="B13">
        <v>9.9089320000000001</v>
      </c>
      <c r="C13" t="s">
        <v>14</v>
      </c>
      <c r="D13" t="s">
        <v>8</v>
      </c>
      <c r="E13" t="s">
        <v>10</v>
      </c>
      <c r="F13">
        <v>66</v>
      </c>
      <c r="G13">
        <v>3.7460000000000002E-3</v>
      </c>
      <c r="H13" t="s">
        <v>16</v>
      </c>
      <c r="J13">
        <f t="shared" si="0"/>
        <v>3.8E-3</v>
      </c>
    </row>
    <row r="14" spans="1:10" x14ac:dyDescent="0.3">
      <c r="A14">
        <v>30</v>
      </c>
      <c r="B14">
        <v>9.9090690000000006</v>
      </c>
      <c r="C14" t="s">
        <v>8</v>
      </c>
      <c r="D14" t="s">
        <v>14</v>
      </c>
      <c r="E14" t="s">
        <v>10</v>
      </c>
      <c r="F14">
        <v>54</v>
      </c>
      <c r="G14">
        <v>1.37E-4</v>
      </c>
      <c r="H14" t="s">
        <v>17</v>
      </c>
      <c r="J14">
        <f t="shared" si="0"/>
        <v>2.0000000000000001E-4</v>
      </c>
    </row>
    <row r="15" spans="1:10" x14ac:dyDescent="0.3">
      <c r="A15">
        <v>31</v>
      </c>
      <c r="B15">
        <v>9.9098959999999998</v>
      </c>
      <c r="C15" t="s">
        <v>8</v>
      </c>
      <c r="D15" t="s">
        <v>14</v>
      </c>
      <c r="E15" t="s">
        <v>18</v>
      </c>
      <c r="F15">
        <v>99</v>
      </c>
      <c r="G15">
        <v>8.2700000000000004E-4</v>
      </c>
      <c r="H15" t="s">
        <v>19</v>
      </c>
      <c r="J15">
        <f t="shared" si="0"/>
        <v>9.0000000000000008E-4</v>
      </c>
    </row>
    <row r="16" spans="1:10" x14ac:dyDescent="0.3">
      <c r="A16">
        <v>32</v>
      </c>
      <c r="B16">
        <v>9.9156479999999991</v>
      </c>
      <c r="C16" t="s">
        <v>14</v>
      </c>
      <c r="D16" t="s">
        <v>8</v>
      </c>
      <c r="E16" t="s">
        <v>10</v>
      </c>
      <c r="F16">
        <v>60</v>
      </c>
      <c r="G16">
        <v>5.7520000000000002E-3</v>
      </c>
      <c r="H16" t="s">
        <v>20</v>
      </c>
      <c r="J16">
        <f t="shared" si="0"/>
        <v>5.8000000000000005E-3</v>
      </c>
    </row>
    <row r="17" spans="1:10" x14ac:dyDescent="0.3">
      <c r="A17">
        <v>33</v>
      </c>
      <c r="B17">
        <v>9.9156479999999991</v>
      </c>
      <c r="C17" t="s">
        <v>14</v>
      </c>
      <c r="D17" t="s">
        <v>8</v>
      </c>
      <c r="E17" t="s">
        <v>18</v>
      </c>
      <c r="F17">
        <v>60</v>
      </c>
      <c r="G17">
        <v>0</v>
      </c>
      <c r="H17" t="s">
        <v>21</v>
      </c>
      <c r="J17">
        <f t="shared" si="0"/>
        <v>0</v>
      </c>
    </row>
    <row r="18" spans="1:10" x14ac:dyDescent="0.3">
      <c r="A18">
        <v>34</v>
      </c>
      <c r="B18">
        <v>9.9617310000000003</v>
      </c>
      <c r="C18" t="s">
        <v>8</v>
      </c>
      <c r="D18" t="s">
        <v>14</v>
      </c>
      <c r="E18" t="s">
        <v>10</v>
      </c>
      <c r="F18">
        <v>54</v>
      </c>
      <c r="G18">
        <v>4.6082999999999999E-2</v>
      </c>
      <c r="H18" t="s">
        <v>22</v>
      </c>
      <c r="J18">
        <f t="shared" si="0"/>
        <v>4.6100000000000002E-2</v>
      </c>
    </row>
    <row r="19" spans="1:10" x14ac:dyDescent="0.3">
      <c r="A19">
        <v>35</v>
      </c>
      <c r="B19">
        <v>9.9867699999999999</v>
      </c>
      <c r="C19" t="s">
        <v>8</v>
      </c>
      <c r="D19" t="s">
        <v>14</v>
      </c>
      <c r="E19" t="s">
        <v>18</v>
      </c>
      <c r="F19">
        <v>70</v>
      </c>
      <c r="G19">
        <v>2.5038999999999999E-2</v>
      </c>
      <c r="H19" t="s">
        <v>23</v>
      </c>
      <c r="J19">
        <f t="shared" si="0"/>
        <v>2.5100000000000001E-2</v>
      </c>
    </row>
    <row r="20" spans="1:10" x14ac:dyDescent="0.3">
      <c r="A20">
        <v>36</v>
      </c>
      <c r="B20">
        <v>9.9897740000000006</v>
      </c>
      <c r="C20" t="s">
        <v>14</v>
      </c>
      <c r="D20" t="s">
        <v>8</v>
      </c>
      <c r="E20" t="s">
        <v>18</v>
      </c>
      <c r="F20">
        <v>60</v>
      </c>
      <c r="G20">
        <v>3.0040000000000002E-3</v>
      </c>
      <c r="H20" t="s">
        <v>24</v>
      </c>
      <c r="J20">
        <f t="shared" si="0"/>
        <v>3.0999999999999999E-3</v>
      </c>
    </row>
    <row r="21" spans="1:10" x14ac:dyDescent="0.3">
      <c r="A21">
        <v>37</v>
      </c>
      <c r="B21">
        <v>10.037772</v>
      </c>
      <c r="C21" t="s">
        <v>8</v>
      </c>
      <c r="D21" t="s">
        <v>14</v>
      </c>
      <c r="E21" t="s">
        <v>10</v>
      </c>
      <c r="F21">
        <v>54</v>
      </c>
      <c r="G21">
        <v>4.7997999999999999E-2</v>
      </c>
      <c r="H21" t="s">
        <v>25</v>
      </c>
      <c r="J21">
        <f t="shared" si="0"/>
        <v>4.8000000000000001E-2</v>
      </c>
    </row>
    <row r="22" spans="1:10" x14ac:dyDescent="0.3">
      <c r="A22">
        <v>43</v>
      </c>
      <c r="B22">
        <v>13.169119</v>
      </c>
      <c r="C22" t="s">
        <v>8</v>
      </c>
      <c r="D22" t="s">
        <v>9</v>
      </c>
      <c r="E22" t="s">
        <v>10</v>
      </c>
      <c r="F22">
        <v>66</v>
      </c>
      <c r="G22">
        <v>3.1313469999999999</v>
      </c>
      <c r="H22" t="s">
        <v>26</v>
      </c>
      <c r="J22">
        <f t="shared" si="0"/>
        <v>3.1314000000000002</v>
      </c>
    </row>
    <row r="23" spans="1:10" x14ac:dyDescent="0.3">
      <c r="A23">
        <v>44</v>
      </c>
      <c r="B23">
        <v>13.249618999999999</v>
      </c>
      <c r="C23" t="s">
        <v>9</v>
      </c>
      <c r="D23" t="s">
        <v>8</v>
      </c>
      <c r="E23" t="s">
        <v>10</v>
      </c>
      <c r="F23">
        <v>60</v>
      </c>
      <c r="G23">
        <v>8.0500000000000002E-2</v>
      </c>
      <c r="H23" t="s">
        <v>27</v>
      </c>
      <c r="J23">
        <f t="shared" si="0"/>
        <v>8.0500000000000002E-2</v>
      </c>
    </row>
    <row r="24" spans="1:10" x14ac:dyDescent="0.3">
      <c r="A24">
        <v>45</v>
      </c>
      <c r="B24">
        <v>13.754791000000001</v>
      </c>
      <c r="C24" t="s">
        <v>8</v>
      </c>
      <c r="D24" t="s">
        <v>14</v>
      </c>
      <c r="E24" t="s">
        <v>18</v>
      </c>
      <c r="F24">
        <v>71</v>
      </c>
      <c r="G24">
        <v>0.50517199999999995</v>
      </c>
      <c r="H24" t="s">
        <v>28</v>
      </c>
      <c r="J24">
        <f t="shared" si="0"/>
        <v>0.50519999999999998</v>
      </c>
    </row>
    <row r="25" spans="1:10" x14ac:dyDescent="0.3">
      <c r="A25">
        <v>46</v>
      </c>
      <c r="B25">
        <v>13.757198000000001</v>
      </c>
      <c r="C25" t="s">
        <v>14</v>
      </c>
      <c r="D25" t="s">
        <v>8</v>
      </c>
      <c r="E25" t="s">
        <v>18</v>
      </c>
      <c r="F25">
        <v>71</v>
      </c>
      <c r="G25">
        <v>2.4069999999999999E-3</v>
      </c>
      <c r="H25" t="s">
        <v>28</v>
      </c>
      <c r="J25">
        <f t="shared" si="0"/>
        <v>2.4999999999999996E-3</v>
      </c>
    </row>
    <row r="26" spans="1:10" x14ac:dyDescent="0.3">
      <c r="A26">
        <v>47</v>
      </c>
      <c r="B26">
        <v>13.763017</v>
      </c>
      <c r="C26" t="s">
        <v>8</v>
      </c>
      <c r="D26" t="s">
        <v>9</v>
      </c>
      <c r="E26" t="s">
        <v>10</v>
      </c>
      <c r="F26">
        <v>66</v>
      </c>
      <c r="G26">
        <v>5.8190000000000004E-3</v>
      </c>
      <c r="H26" t="s">
        <v>29</v>
      </c>
      <c r="J26">
        <f t="shared" si="0"/>
        <v>5.8999999999999999E-3</v>
      </c>
    </row>
    <row r="27" spans="1:10" x14ac:dyDescent="0.3">
      <c r="A27">
        <v>48</v>
      </c>
      <c r="B27">
        <v>13.809183000000001</v>
      </c>
      <c r="C27" t="s">
        <v>8</v>
      </c>
      <c r="D27" t="s">
        <v>14</v>
      </c>
      <c r="E27" t="s">
        <v>10</v>
      </c>
      <c r="F27">
        <v>54</v>
      </c>
      <c r="G27">
        <v>4.6165999999999999E-2</v>
      </c>
      <c r="H27" t="s">
        <v>30</v>
      </c>
      <c r="J27">
        <f t="shared" si="0"/>
        <v>4.6200000000000005E-2</v>
      </c>
    </row>
    <row r="28" spans="1:10" x14ac:dyDescent="0.3">
      <c r="A28">
        <v>50</v>
      </c>
      <c r="B28">
        <v>14.080837000000001</v>
      </c>
      <c r="C28" t="s">
        <v>9</v>
      </c>
      <c r="D28" t="s">
        <v>8</v>
      </c>
      <c r="E28" t="s">
        <v>10</v>
      </c>
      <c r="F28">
        <v>60</v>
      </c>
      <c r="G28">
        <v>0.27165400000000001</v>
      </c>
      <c r="H28" t="s">
        <v>27</v>
      </c>
      <c r="J28">
        <f t="shared" si="0"/>
        <v>0.2717</v>
      </c>
    </row>
    <row r="29" spans="1:10" x14ac:dyDescent="0.3">
      <c r="A29">
        <v>51</v>
      </c>
      <c r="B29">
        <v>14.590225999999999</v>
      </c>
      <c r="C29" t="s">
        <v>8</v>
      </c>
      <c r="D29" t="s">
        <v>9</v>
      </c>
      <c r="E29" t="s">
        <v>10</v>
      </c>
      <c r="F29">
        <v>66</v>
      </c>
      <c r="G29">
        <v>0.50938899999999998</v>
      </c>
      <c r="H29" t="s">
        <v>29</v>
      </c>
      <c r="J29">
        <f t="shared" si="0"/>
        <v>0.50939999999999996</v>
      </c>
    </row>
    <row r="30" spans="1:10" x14ac:dyDescent="0.3">
      <c r="A30">
        <v>52</v>
      </c>
      <c r="B30">
        <v>14.689242</v>
      </c>
      <c r="C30" t="s">
        <v>9</v>
      </c>
      <c r="D30" t="s">
        <v>8</v>
      </c>
      <c r="E30" t="s">
        <v>10</v>
      </c>
      <c r="F30">
        <v>60</v>
      </c>
      <c r="G30">
        <v>9.9016000000000007E-2</v>
      </c>
      <c r="H30" t="s">
        <v>27</v>
      </c>
      <c r="J30">
        <f t="shared" si="0"/>
        <v>9.9100000000000008E-2</v>
      </c>
    </row>
    <row r="31" spans="1:10" x14ac:dyDescent="0.3">
      <c r="A31">
        <v>53</v>
      </c>
      <c r="B31">
        <v>14.946676999999999</v>
      </c>
      <c r="C31" t="s">
        <v>14</v>
      </c>
      <c r="D31" t="s">
        <v>8</v>
      </c>
      <c r="E31" t="s">
        <v>18</v>
      </c>
      <c r="F31">
        <v>71</v>
      </c>
      <c r="G31">
        <v>0.25743500000000002</v>
      </c>
      <c r="H31" t="s">
        <v>28</v>
      </c>
      <c r="J31">
        <f t="shared" si="0"/>
        <v>0.25750000000000001</v>
      </c>
    </row>
    <row r="32" spans="1:10" x14ac:dyDescent="0.3">
      <c r="A32">
        <v>54</v>
      </c>
      <c r="B32">
        <v>14.996941</v>
      </c>
      <c r="C32" t="s">
        <v>8</v>
      </c>
      <c r="D32" t="s">
        <v>14</v>
      </c>
      <c r="E32" t="s">
        <v>10</v>
      </c>
      <c r="F32">
        <v>54</v>
      </c>
      <c r="G32">
        <v>5.0264000000000003E-2</v>
      </c>
      <c r="H32" t="s">
        <v>31</v>
      </c>
      <c r="J32">
        <f t="shared" si="0"/>
        <v>5.0300000000000004E-2</v>
      </c>
    </row>
    <row r="33" spans="1:10" x14ac:dyDescent="0.3">
      <c r="A33">
        <v>55</v>
      </c>
      <c r="B33">
        <v>15.199861</v>
      </c>
      <c r="C33" t="s">
        <v>8</v>
      </c>
      <c r="D33" t="s">
        <v>9</v>
      </c>
      <c r="E33" t="s">
        <v>10</v>
      </c>
      <c r="F33">
        <v>66</v>
      </c>
      <c r="G33">
        <v>0.20291999999999999</v>
      </c>
      <c r="H33" t="s">
        <v>29</v>
      </c>
      <c r="J33">
        <f t="shared" si="0"/>
        <v>0.20299999999999999</v>
      </c>
    </row>
    <row r="34" spans="1:10" x14ac:dyDescent="0.3">
      <c r="A34">
        <v>56</v>
      </c>
      <c r="B34">
        <v>15.518456</v>
      </c>
      <c r="C34" t="s">
        <v>9</v>
      </c>
      <c r="D34" t="s">
        <v>8</v>
      </c>
      <c r="E34" t="s">
        <v>10</v>
      </c>
      <c r="F34">
        <v>60</v>
      </c>
      <c r="G34">
        <v>0.31859500000000002</v>
      </c>
      <c r="H34" t="s">
        <v>27</v>
      </c>
      <c r="J34">
        <f t="shared" si="0"/>
        <v>0.31859999999999999</v>
      </c>
    </row>
    <row r="35" spans="1:10" x14ac:dyDescent="0.3">
      <c r="A35">
        <v>57</v>
      </c>
      <c r="B35">
        <v>16.033735</v>
      </c>
      <c r="C35" t="s">
        <v>8</v>
      </c>
      <c r="D35" t="s">
        <v>9</v>
      </c>
      <c r="E35" t="s">
        <v>10</v>
      </c>
      <c r="F35">
        <v>66</v>
      </c>
      <c r="G35">
        <v>0.51527900000000004</v>
      </c>
      <c r="H35" t="s">
        <v>29</v>
      </c>
      <c r="J35">
        <f t="shared" si="0"/>
        <v>0.51529999999999998</v>
      </c>
    </row>
    <row r="36" spans="1:10" x14ac:dyDescent="0.3">
      <c r="A36">
        <v>58</v>
      </c>
      <c r="B36">
        <v>16.116185000000002</v>
      </c>
      <c r="C36" t="s">
        <v>9</v>
      </c>
      <c r="D36" t="s">
        <v>8</v>
      </c>
      <c r="E36" t="s">
        <v>10</v>
      </c>
      <c r="F36">
        <v>60</v>
      </c>
      <c r="G36">
        <v>8.2449999999999996E-2</v>
      </c>
      <c r="H36" t="s">
        <v>27</v>
      </c>
      <c r="J36">
        <f t="shared" si="0"/>
        <v>8.2500000000000004E-2</v>
      </c>
    </row>
    <row r="37" spans="1:10" x14ac:dyDescent="0.3">
      <c r="A37">
        <v>59</v>
      </c>
      <c r="B37">
        <v>16.737862</v>
      </c>
      <c r="C37" t="s">
        <v>8</v>
      </c>
      <c r="D37" t="s">
        <v>14</v>
      </c>
      <c r="E37" t="s">
        <v>18</v>
      </c>
      <c r="F37">
        <v>71</v>
      </c>
      <c r="G37">
        <v>0.62167700000000004</v>
      </c>
      <c r="H37" t="s">
        <v>28</v>
      </c>
      <c r="J37">
        <f t="shared" si="0"/>
        <v>0.62170000000000003</v>
      </c>
    </row>
    <row r="38" spans="1:10" x14ac:dyDescent="0.3">
      <c r="A38">
        <v>60</v>
      </c>
      <c r="B38">
        <v>16.739625</v>
      </c>
      <c r="C38" t="s">
        <v>14</v>
      </c>
      <c r="D38" t="s">
        <v>8</v>
      </c>
      <c r="E38" t="s">
        <v>18</v>
      </c>
      <c r="F38">
        <v>71</v>
      </c>
      <c r="G38">
        <v>1.763E-3</v>
      </c>
      <c r="H38" t="s">
        <v>28</v>
      </c>
      <c r="J38">
        <f t="shared" si="0"/>
        <v>1.8E-3</v>
      </c>
    </row>
    <row r="39" spans="1:10" x14ac:dyDescent="0.3">
      <c r="A39">
        <v>61</v>
      </c>
      <c r="B39">
        <v>16.783096</v>
      </c>
      <c r="C39" t="s">
        <v>8</v>
      </c>
      <c r="D39" t="s">
        <v>14</v>
      </c>
      <c r="E39" t="s">
        <v>10</v>
      </c>
      <c r="F39">
        <v>54</v>
      </c>
      <c r="G39">
        <v>4.3471000000000003E-2</v>
      </c>
      <c r="H39" t="s">
        <v>32</v>
      </c>
      <c r="J39">
        <f t="shared" si="0"/>
        <v>4.3500000000000004E-2</v>
      </c>
    </row>
    <row r="40" spans="1:10" x14ac:dyDescent="0.3">
      <c r="A40">
        <v>63</v>
      </c>
      <c r="B40">
        <v>17.731228000000002</v>
      </c>
      <c r="C40" t="s">
        <v>14</v>
      </c>
      <c r="D40" t="s">
        <v>8</v>
      </c>
      <c r="E40" t="s">
        <v>18</v>
      </c>
      <c r="F40">
        <v>71</v>
      </c>
      <c r="G40">
        <v>0.94813199999999997</v>
      </c>
      <c r="H40" t="s">
        <v>28</v>
      </c>
      <c r="J40">
        <f t="shared" si="0"/>
        <v>0.94820000000000004</v>
      </c>
    </row>
    <row r="41" spans="1:10" x14ac:dyDescent="0.3">
      <c r="A41">
        <v>64</v>
      </c>
      <c r="B41">
        <v>17.786615999999999</v>
      </c>
      <c r="C41" t="s">
        <v>8</v>
      </c>
      <c r="D41" t="s">
        <v>14</v>
      </c>
      <c r="E41" t="s">
        <v>10</v>
      </c>
      <c r="F41">
        <v>54</v>
      </c>
      <c r="G41">
        <v>5.5388E-2</v>
      </c>
      <c r="H41" t="s">
        <v>33</v>
      </c>
      <c r="J41">
        <f t="shared" si="0"/>
        <v>5.5400000000000005E-2</v>
      </c>
    </row>
    <row r="42" spans="1:10" x14ac:dyDescent="0.3">
      <c r="A42">
        <v>71</v>
      </c>
      <c r="B42">
        <v>18.912658</v>
      </c>
      <c r="C42" t="s">
        <v>8</v>
      </c>
      <c r="D42" t="s">
        <v>14</v>
      </c>
      <c r="E42" t="s">
        <v>18</v>
      </c>
      <c r="F42">
        <v>71</v>
      </c>
      <c r="G42">
        <v>1.126042</v>
      </c>
      <c r="H42" t="s">
        <v>28</v>
      </c>
      <c r="J42">
        <f t="shared" si="0"/>
        <v>1.1260999999999999</v>
      </c>
    </row>
    <row r="43" spans="1:10" x14ac:dyDescent="0.3">
      <c r="A43">
        <v>72</v>
      </c>
      <c r="B43">
        <v>18.914641</v>
      </c>
      <c r="C43" t="s">
        <v>14</v>
      </c>
      <c r="D43" t="s">
        <v>8</v>
      </c>
      <c r="E43" t="s">
        <v>18</v>
      </c>
      <c r="F43">
        <v>71</v>
      </c>
      <c r="G43">
        <v>1.983E-3</v>
      </c>
      <c r="H43" t="s">
        <v>28</v>
      </c>
      <c r="J43">
        <f t="shared" si="0"/>
        <v>2E-3</v>
      </c>
    </row>
    <row r="44" spans="1:10" x14ac:dyDescent="0.3">
      <c r="A44">
        <v>73</v>
      </c>
      <c r="B44">
        <v>18.970555999999998</v>
      </c>
      <c r="C44" t="s">
        <v>8</v>
      </c>
      <c r="D44" t="s">
        <v>14</v>
      </c>
      <c r="E44" t="s">
        <v>10</v>
      </c>
      <c r="F44">
        <v>54</v>
      </c>
      <c r="G44">
        <v>5.5914999999999999E-2</v>
      </c>
      <c r="H44" t="s">
        <v>34</v>
      </c>
      <c r="J44">
        <f t="shared" si="0"/>
        <v>5.6000000000000001E-2</v>
      </c>
    </row>
    <row r="45" spans="1:10" x14ac:dyDescent="0.3">
      <c r="A45">
        <v>75</v>
      </c>
      <c r="B45">
        <v>20.174944</v>
      </c>
      <c r="C45" t="s">
        <v>14</v>
      </c>
      <c r="D45" t="s">
        <v>8</v>
      </c>
      <c r="E45" t="s">
        <v>18</v>
      </c>
      <c r="F45">
        <v>71</v>
      </c>
      <c r="G45">
        <v>1.204388</v>
      </c>
      <c r="H45" t="s">
        <v>28</v>
      </c>
      <c r="J45">
        <f t="shared" si="0"/>
        <v>1.2043999999999999</v>
      </c>
    </row>
    <row r="46" spans="1:10" x14ac:dyDescent="0.3">
      <c r="A46">
        <v>76</v>
      </c>
      <c r="B46">
        <v>20.220351000000001</v>
      </c>
      <c r="C46" t="s">
        <v>8</v>
      </c>
      <c r="D46" t="s">
        <v>14</v>
      </c>
      <c r="E46" t="s">
        <v>10</v>
      </c>
      <c r="F46">
        <v>54</v>
      </c>
      <c r="G46">
        <v>4.5407000000000003E-2</v>
      </c>
      <c r="H46" t="s">
        <v>35</v>
      </c>
      <c r="J46">
        <f t="shared" si="0"/>
        <v>4.5500000000000006E-2</v>
      </c>
    </row>
    <row r="47" spans="1:10" x14ac:dyDescent="0.3">
      <c r="A47">
        <v>77</v>
      </c>
      <c r="B47">
        <v>21.160599999999999</v>
      </c>
      <c r="C47" t="s">
        <v>8</v>
      </c>
      <c r="D47" t="s">
        <v>14</v>
      </c>
      <c r="E47" t="s">
        <v>18</v>
      </c>
      <c r="F47">
        <v>71</v>
      </c>
      <c r="G47">
        <v>0.940249</v>
      </c>
      <c r="H47" t="s">
        <v>28</v>
      </c>
      <c r="J47">
        <f t="shared" si="0"/>
        <v>0.94030000000000002</v>
      </c>
    </row>
    <row r="48" spans="1:10" x14ac:dyDescent="0.3">
      <c r="A48">
        <v>78</v>
      </c>
      <c r="B48">
        <v>21.162330000000001</v>
      </c>
      <c r="C48" t="s">
        <v>14</v>
      </c>
      <c r="D48" t="s">
        <v>8</v>
      </c>
      <c r="E48" t="s">
        <v>18</v>
      </c>
      <c r="F48">
        <v>71</v>
      </c>
      <c r="G48">
        <v>1.73E-3</v>
      </c>
      <c r="H48" t="s">
        <v>28</v>
      </c>
      <c r="J48">
        <f t="shared" si="0"/>
        <v>1.8E-3</v>
      </c>
    </row>
    <row r="49" spans="1:10" x14ac:dyDescent="0.3">
      <c r="A49">
        <v>79</v>
      </c>
      <c r="B49">
        <v>21.207108999999999</v>
      </c>
      <c r="C49" t="s">
        <v>8</v>
      </c>
      <c r="D49" t="s">
        <v>14</v>
      </c>
      <c r="E49" t="s">
        <v>10</v>
      </c>
      <c r="F49">
        <v>54</v>
      </c>
      <c r="G49">
        <v>4.4778999999999999E-2</v>
      </c>
      <c r="H49" t="s">
        <v>36</v>
      </c>
      <c r="J49">
        <f t="shared" si="0"/>
        <v>4.48E-2</v>
      </c>
    </row>
    <row r="50" spans="1:10" x14ac:dyDescent="0.3">
      <c r="A50">
        <v>80</v>
      </c>
      <c r="B50">
        <v>22.164014000000002</v>
      </c>
      <c r="C50" t="s">
        <v>14</v>
      </c>
      <c r="D50" t="s">
        <v>8</v>
      </c>
      <c r="E50" t="s">
        <v>18</v>
      </c>
      <c r="F50">
        <v>71</v>
      </c>
      <c r="G50">
        <v>0.95690500000000001</v>
      </c>
      <c r="H50" t="s">
        <v>28</v>
      </c>
      <c r="J50">
        <f t="shared" si="0"/>
        <v>0.95699999999999996</v>
      </c>
    </row>
    <row r="51" spans="1:10" x14ac:dyDescent="0.3">
      <c r="A51">
        <v>81</v>
      </c>
      <c r="B51">
        <v>22.207107000000001</v>
      </c>
      <c r="C51" t="s">
        <v>8</v>
      </c>
      <c r="D51" t="s">
        <v>14</v>
      </c>
      <c r="E51" t="s">
        <v>10</v>
      </c>
      <c r="F51">
        <v>54</v>
      </c>
      <c r="G51">
        <v>4.3092999999999999E-2</v>
      </c>
      <c r="H51" t="s">
        <v>37</v>
      </c>
      <c r="J51">
        <f t="shared" si="0"/>
        <v>4.3099999999999999E-2</v>
      </c>
    </row>
    <row r="52" spans="1:10" x14ac:dyDescent="0.3">
      <c r="A52">
        <v>83</v>
      </c>
      <c r="B52">
        <v>23.068919999999999</v>
      </c>
      <c r="C52" t="s">
        <v>8</v>
      </c>
      <c r="D52" t="s">
        <v>14</v>
      </c>
      <c r="E52" t="s">
        <v>18</v>
      </c>
      <c r="F52">
        <v>71</v>
      </c>
      <c r="G52">
        <v>0.86181300000000005</v>
      </c>
      <c r="H52" t="s">
        <v>28</v>
      </c>
      <c r="J52">
        <f t="shared" si="0"/>
        <v>0.8619</v>
      </c>
    </row>
    <row r="53" spans="1:10" x14ac:dyDescent="0.3">
      <c r="A53">
        <v>84</v>
      </c>
      <c r="B53">
        <v>23.076827999999999</v>
      </c>
      <c r="C53" t="s">
        <v>14</v>
      </c>
      <c r="D53" t="s">
        <v>8</v>
      </c>
      <c r="E53" t="s">
        <v>18</v>
      </c>
      <c r="F53">
        <v>71</v>
      </c>
      <c r="G53">
        <v>7.9080000000000001E-3</v>
      </c>
      <c r="H53" t="s">
        <v>28</v>
      </c>
      <c r="J53">
        <f t="shared" si="0"/>
        <v>8.0000000000000002E-3</v>
      </c>
    </row>
    <row r="54" spans="1:10" x14ac:dyDescent="0.3">
      <c r="A54">
        <v>85</v>
      </c>
      <c r="B54">
        <v>23.128072</v>
      </c>
      <c r="C54" t="s">
        <v>8</v>
      </c>
      <c r="D54" t="s">
        <v>14</v>
      </c>
      <c r="E54" t="s">
        <v>10</v>
      </c>
      <c r="F54">
        <v>54</v>
      </c>
      <c r="G54">
        <v>5.1243999999999998E-2</v>
      </c>
      <c r="H54" t="s">
        <v>38</v>
      </c>
      <c r="J54">
        <f t="shared" si="0"/>
        <v>5.1300000000000005E-2</v>
      </c>
    </row>
    <row r="55" spans="1:10" x14ac:dyDescent="0.3">
      <c r="A55">
        <v>86</v>
      </c>
      <c r="B55">
        <v>24.030380000000001</v>
      </c>
      <c r="C55" t="s">
        <v>14</v>
      </c>
      <c r="D55" t="s">
        <v>8</v>
      </c>
      <c r="E55" t="s">
        <v>18</v>
      </c>
      <c r="F55">
        <v>71</v>
      </c>
      <c r="G55">
        <v>0.902308</v>
      </c>
      <c r="H55" t="s">
        <v>28</v>
      </c>
      <c r="J55">
        <f t="shared" si="0"/>
        <v>0.90239999999999998</v>
      </c>
    </row>
    <row r="56" spans="1:10" x14ac:dyDescent="0.3">
      <c r="A56">
        <v>87</v>
      </c>
      <c r="B56">
        <v>24.083182000000001</v>
      </c>
      <c r="C56" t="s">
        <v>8</v>
      </c>
      <c r="D56" t="s">
        <v>14</v>
      </c>
      <c r="E56" t="s">
        <v>10</v>
      </c>
      <c r="F56">
        <v>54</v>
      </c>
      <c r="G56">
        <v>5.2802000000000002E-2</v>
      </c>
      <c r="H56" t="s">
        <v>39</v>
      </c>
      <c r="J56">
        <f t="shared" si="0"/>
        <v>5.2900000000000003E-2</v>
      </c>
    </row>
    <row r="57" spans="1:10" x14ac:dyDescent="0.3">
      <c r="A57">
        <v>88</v>
      </c>
      <c r="B57">
        <v>24.959209999999999</v>
      </c>
      <c r="C57" t="s">
        <v>8</v>
      </c>
      <c r="D57" t="s">
        <v>14</v>
      </c>
      <c r="E57" t="s">
        <v>18</v>
      </c>
      <c r="F57">
        <v>71</v>
      </c>
      <c r="G57">
        <v>0.87602800000000003</v>
      </c>
      <c r="H57" t="s">
        <v>28</v>
      </c>
      <c r="J57">
        <f t="shared" si="0"/>
        <v>0.87609999999999999</v>
      </c>
    </row>
    <row r="58" spans="1:10" x14ac:dyDescent="0.3">
      <c r="A58">
        <v>89</v>
      </c>
      <c r="B58">
        <v>24.966652</v>
      </c>
      <c r="C58" t="s">
        <v>14</v>
      </c>
      <c r="D58" t="s">
        <v>8</v>
      </c>
      <c r="E58" t="s">
        <v>18</v>
      </c>
      <c r="F58">
        <v>71</v>
      </c>
      <c r="G58">
        <v>7.4419999999999998E-3</v>
      </c>
      <c r="H58" t="s">
        <v>28</v>
      </c>
      <c r="J58">
        <f t="shared" si="0"/>
        <v>7.5000000000000006E-3</v>
      </c>
    </row>
    <row r="59" spans="1:10" x14ac:dyDescent="0.3">
      <c r="A59">
        <v>90</v>
      </c>
      <c r="B59">
        <v>25.021878999999998</v>
      </c>
      <c r="C59" t="s">
        <v>8</v>
      </c>
      <c r="D59" t="s">
        <v>14</v>
      </c>
      <c r="E59" t="s">
        <v>10</v>
      </c>
      <c r="F59">
        <v>54</v>
      </c>
      <c r="G59">
        <v>5.5226999999999998E-2</v>
      </c>
      <c r="H59" t="s">
        <v>40</v>
      </c>
      <c r="J59">
        <f t="shared" si="0"/>
        <v>5.5300000000000002E-2</v>
      </c>
    </row>
    <row r="60" spans="1:10" x14ac:dyDescent="0.3">
      <c r="A60">
        <v>91</v>
      </c>
      <c r="B60">
        <v>26.014991999999999</v>
      </c>
      <c r="C60" t="s">
        <v>14</v>
      </c>
      <c r="D60" t="s">
        <v>8</v>
      </c>
      <c r="E60" t="s">
        <v>18</v>
      </c>
      <c r="F60">
        <v>71</v>
      </c>
      <c r="G60">
        <v>0.99311300000000002</v>
      </c>
      <c r="H60" t="s">
        <v>28</v>
      </c>
      <c r="J60">
        <f t="shared" si="0"/>
        <v>0.99319999999999997</v>
      </c>
    </row>
    <row r="61" spans="1:10" x14ac:dyDescent="0.3">
      <c r="A61">
        <v>92</v>
      </c>
      <c r="B61">
        <v>26.027324</v>
      </c>
      <c r="C61" t="s">
        <v>8</v>
      </c>
      <c r="D61" t="s">
        <v>41</v>
      </c>
      <c r="E61" t="s">
        <v>10</v>
      </c>
      <c r="F61">
        <v>66</v>
      </c>
      <c r="G61">
        <v>1.2331999999999999E-2</v>
      </c>
      <c r="H61" t="s">
        <v>42</v>
      </c>
      <c r="J61">
        <f t="shared" si="0"/>
        <v>1.24E-2</v>
      </c>
    </row>
    <row r="62" spans="1:10" x14ac:dyDescent="0.3">
      <c r="A62">
        <v>93</v>
      </c>
      <c r="B62">
        <v>26.057022</v>
      </c>
      <c r="C62" t="s">
        <v>8</v>
      </c>
      <c r="D62" t="s">
        <v>14</v>
      </c>
      <c r="E62" t="s">
        <v>10</v>
      </c>
      <c r="F62">
        <v>54</v>
      </c>
      <c r="G62">
        <v>2.9697999999999999E-2</v>
      </c>
      <c r="H62" t="s">
        <v>43</v>
      </c>
      <c r="J62">
        <f t="shared" si="0"/>
        <v>2.9700000000000001E-2</v>
      </c>
    </row>
    <row r="63" spans="1:10" x14ac:dyDescent="0.3">
      <c r="A63">
        <v>94</v>
      </c>
      <c r="B63">
        <v>26.149039999999999</v>
      </c>
      <c r="C63" t="s">
        <v>8</v>
      </c>
      <c r="D63" t="s">
        <v>9</v>
      </c>
      <c r="E63" t="s">
        <v>10</v>
      </c>
      <c r="F63">
        <v>66</v>
      </c>
      <c r="G63">
        <v>9.2018000000000003E-2</v>
      </c>
      <c r="H63" t="s">
        <v>44</v>
      </c>
      <c r="J63">
        <f t="shared" si="0"/>
        <v>9.2100000000000001E-2</v>
      </c>
    </row>
    <row r="64" spans="1:10" x14ac:dyDescent="0.3">
      <c r="A64">
        <v>95</v>
      </c>
      <c r="B64">
        <v>26.237545000000001</v>
      </c>
      <c r="C64" t="s">
        <v>41</v>
      </c>
      <c r="D64" t="s">
        <v>8</v>
      </c>
      <c r="E64" t="s">
        <v>10</v>
      </c>
      <c r="F64">
        <v>66</v>
      </c>
      <c r="G64">
        <v>8.8505E-2</v>
      </c>
      <c r="H64" t="s">
        <v>45</v>
      </c>
      <c r="J64">
        <f t="shared" si="0"/>
        <v>8.8599999999999998E-2</v>
      </c>
    </row>
    <row r="65" spans="1:10" x14ac:dyDescent="0.3">
      <c r="A65">
        <v>96</v>
      </c>
      <c r="B65">
        <v>26.237666999999998</v>
      </c>
      <c r="C65" t="s">
        <v>8</v>
      </c>
      <c r="D65" t="s">
        <v>41</v>
      </c>
      <c r="E65" t="s">
        <v>10</v>
      </c>
      <c r="F65">
        <v>54</v>
      </c>
      <c r="G65">
        <v>1.22E-4</v>
      </c>
      <c r="H65" t="s">
        <v>46</v>
      </c>
      <c r="J65">
        <f t="shared" si="0"/>
        <v>2.0000000000000001E-4</v>
      </c>
    </row>
    <row r="66" spans="1:10" x14ac:dyDescent="0.3">
      <c r="A66">
        <v>97</v>
      </c>
      <c r="B66">
        <v>26.238019999999999</v>
      </c>
      <c r="C66" t="s">
        <v>8</v>
      </c>
      <c r="D66" t="s">
        <v>41</v>
      </c>
      <c r="E66" t="s">
        <v>47</v>
      </c>
      <c r="F66">
        <v>283</v>
      </c>
      <c r="G66">
        <v>3.5300000000000002E-4</v>
      </c>
      <c r="H66" t="s">
        <v>48</v>
      </c>
      <c r="J66">
        <f t="shared" si="0"/>
        <v>3.9999999999999996E-4</v>
      </c>
    </row>
    <row r="67" spans="1:10" x14ac:dyDescent="0.3">
      <c r="A67">
        <v>98</v>
      </c>
      <c r="B67">
        <v>26.475943000000001</v>
      </c>
      <c r="C67" t="s">
        <v>9</v>
      </c>
      <c r="D67" t="s">
        <v>8</v>
      </c>
      <c r="E67" t="s">
        <v>10</v>
      </c>
      <c r="F67">
        <v>60</v>
      </c>
      <c r="G67">
        <v>0.237923</v>
      </c>
      <c r="H67" t="s">
        <v>49</v>
      </c>
      <c r="J67">
        <f t="shared" si="0"/>
        <v>0.23799999999999999</v>
      </c>
    </row>
    <row r="68" spans="1:10" x14ac:dyDescent="0.3">
      <c r="A68">
        <v>99</v>
      </c>
      <c r="B68">
        <v>26.486449</v>
      </c>
      <c r="C68" t="s">
        <v>41</v>
      </c>
      <c r="D68" t="s">
        <v>8</v>
      </c>
      <c r="E68" t="s">
        <v>10</v>
      </c>
      <c r="F68">
        <v>1514</v>
      </c>
      <c r="G68">
        <v>1.0506E-2</v>
      </c>
      <c r="H68" t="s">
        <v>50</v>
      </c>
      <c r="J68">
        <f t="shared" ref="J68:J131" si="1">ROUNDUP(G68,4)</f>
        <v>1.06E-2</v>
      </c>
    </row>
    <row r="69" spans="1:10" x14ac:dyDescent="0.3">
      <c r="A69">
        <v>100</v>
      </c>
      <c r="B69">
        <v>26.486449</v>
      </c>
      <c r="C69" t="s">
        <v>41</v>
      </c>
      <c r="D69" t="s">
        <v>8</v>
      </c>
      <c r="E69" t="s">
        <v>10</v>
      </c>
      <c r="F69">
        <v>1514</v>
      </c>
      <c r="G69">
        <v>0</v>
      </c>
      <c r="H69" t="s">
        <v>51</v>
      </c>
      <c r="J69">
        <f t="shared" si="1"/>
        <v>0</v>
      </c>
    </row>
    <row r="70" spans="1:10" x14ac:dyDescent="0.3">
      <c r="A70">
        <v>101</v>
      </c>
      <c r="B70">
        <v>26.486449</v>
      </c>
      <c r="C70" t="s">
        <v>41</v>
      </c>
      <c r="D70" t="s">
        <v>8</v>
      </c>
      <c r="E70" t="s">
        <v>10</v>
      </c>
      <c r="F70">
        <v>1514</v>
      </c>
      <c r="G70">
        <v>0</v>
      </c>
      <c r="H70" t="s">
        <v>52</v>
      </c>
      <c r="J70">
        <f t="shared" si="1"/>
        <v>0</v>
      </c>
    </row>
    <row r="71" spans="1:10" x14ac:dyDescent="0.3">
      <c r="A71">
        <v>102</v>
      </c>
      <c r="B71">
        <v>26.486533000000001</v>
      </c>
      <c r="C71" t="s">
        <v>8</v>
      </c>
      <c r="D71" t="s">
        <v>41</v>
      </c>
      <c r="E71" t="s">
        <v>10</v>
      </c>
      <c r="F71">
        <v>54</v>
      </c>
      <c r="G71">
        <v>8.3999999999999995E-5</v>
      </c>
      <c r="H71" t="s">
        <v>53</v>
      </c>
      <c r="J71">
        <f t="shared" si="1"/>
        <v>1E-4</v>
      </c>
    </row>
    <row r="72" spans="1:10" x14ac:dyDescent="0.3">
      <c r="A72">
        <v>103</v>
      </c>
      <c r="B72">
        <v>26.487009</v>
      </c>
      <c r="C72" t="s">
        <v>41</v>
      </c>
      <c r="D72" t="s">
        <v>8</v>
      </c>
      <c r="E72" t="s">
        <v>10</v>
      </c>
      <c r="F72">
        <v>1514</v>
      </c>
      <c r="G72">
        <v>4.7600000000000002E-4</v>
      </c>
      <c r="H72" t="s">
        <v>54</v>
      </c>
      <c r="J72">
        <f t="shared" si="1"/>
        <v>5.0000000000000001E-4</v>
      </c>
    </row>
    <row r="73" spans="1:10" x14ac:dyDescent="0.3">
      <c r="A73">
        <v>104</v>
      </c>
      <c r="B73">
        <v>26.487009</v>
      </c>
      <c r="C73" t="s">
        <v>41</v>
      </c>
      <c r="D73" t="s">
        <v>8</v>
      </c>
      <c r="E73" t="s">
        <v>47</v>
      </c>
      <c r="F73">
        <v>534</v>
      </c>
      <c r="G73">
        <v>0</v>
      </c>
      <c r="H73" t="s">
        <v>55</v>
      </c>
      <c r="J73">
        <f t="shared" si="1"/>
        <v>0</v>
      </c>
    </row>
    <row r="74" spans="1:10" x14ac:dyDescent="0.3">
      <c r="A74">
        <v>105</v>
      </c>
      <c r="B74">
        <v>26.487038999999999</v>
      </c>
      <c r="C74" t="s">
        <v>8</v>
      </c>
      <c r="D74" t="s">
        <v>41</v>
      </c>
      <c r="E74" t="s">
        <v>10</v>
      </c>
      <c r="F74">
        <v>54</v>
      </c>
      <c r="G74">
        <v>3.0000000000000001E-5</v>
      </c>
      <c r="H74" t="s">
        <v>56</v>
      </c>
      <c r="J74">
        <f t="shared" si="1"/>
        <v>1E-4</v>
      </c>
    </row>
    <row r="75" spans="1:10" x14ac:dyDescent="0.3">
      <c r="A75">
        <v>106</v>
      </c>
      <c r="B75">
        <v>26.496251000000001</v>
      </c>
      <c r="C75" t="s">
        <v>8</v>
      </c>
      <c r="D75" t="s">
        <v>41</v>
      </c>
      <c r="E75" t="s">
        <v>47</v>
      </c>
      <c r="F75">
        <v>212</v>
      </c>
      <c r="G75">
        <v>9.2119999999999997E-3</v>
      </c>
      <c r="H75" t="s">
        <v>57</v>
      </c>
      <c r="J75">
        <f t="shared" si="1"/>
        <v>9.2999999999999992E-3</v>
      </c>
    </row>
    <row r="76" spans="1:10" x14ac:dyDescent="0.3">
      <c r="A76">
        <v>107</v>
      </c>
      <c r="B76">
        <v>26.739522000000001</v>
      </c>
      <c r="C76" t="s">
        <v>41</v>
      </c>
      <c r="D76" t="s">
        <v>8</v>
      </c>
      <c r="E76" t="s">
        <v>47</v>
      </c>
      <c r="F76">
        <v>105</v>
      </c>
      <c r="G76">
        <v>0.24327099999999999</v>
      </c>
      <c r="H76" t="s">
        <v>58</v>
      </c>
      <c r="J76">
        <f t="shared" si="1"/>
        <v>0.24329999999999999</v>
      </c>
    </row>
    <row r="77" spans="1:10" x14ac:dyDescent="0.3">
      <c r="A77">
        <v>108</v>
      </c>
      <c r="B77">
        <v>26.739571999999999</v>
      </c>
      <c r="C77" t="s">
        <v>8</v>
      </c>
      <c r="D77" t="s">
        <v>41</v>
      </c>
      <c r="E77" t="s">
        <v>10</v>
      </c>
      <c r="F77">
        <v>54</v>
      </c>
      <c r="G77">
        <v>5.0000000000000002E-5</v>
      </c>
      <c r="H77" t="s">
        <v>59</v>
      </c>
      <c r="J77">
        <f t="shared" si="1"/>
        <v>1E-4</v>
      </c>
    </row>
    <row r="78" spans="1:10" x14ac:dyDescent="0.3">
      <c r="A78">
        <v>109</v>
      </c>
      <c r="B78">
        <v>26.740286000000001</v>
      </c>
      <c r="C78" t="s">
        <v>8</v>
      </c>
      <c r="D78" t="s">
        <v>41</v>
      </c>
      <c r="E78" t="s">
        <v>47</v>
      </c>
      <c r="F78">
        <v>512</v>
      </c>
      <c r="G78">
        <v>7.1400000000000001E-4</v>
      </c>
      <c r="H78" t="s">
        <v>60</v>
      </c>
      <c r="J78">
        <f t="shared" si="1"/>
        <v>8.0000000000000004E-4</v>
      </c>
    </row>
    <row r="79" spans="1:10" x14ac:dyDescent="0.3">
      <c r="A79">
        <v>110</v>
      </c>
      <c r="B79">
        <v>26.740338999999999</v>
      </c>
      <c r="C79" t="s">
        <v>8</v>
      </c>
      <c r="D79" t="s">
        <v>41</v>
      </c>
      <c r="E79" t="s">
        <v>47</v>
      </c>
      <c r="F79">
        <v>4427</v>
      </c>
      <c r="G79">
        <v>5.3000000000000001E-5</v>
      </c>
      <c r="H79" t="s">
        <v>60</v>
      </c>
      <c r="J79">
        <f t="shared" si="1"/>
        <v>1E-4</v>
      </c>
    </row>
    <row r="80" spans="1:10" x14ac:dyDescent="0.3">
      <c r="A80">
        <v>111</v>
      </c>
      <c r="B80">
        <v>26.949418000000001</v>
      </c>
      <c r="C80" t="s">
        <v>41</v>
      </c>
      <c r="D80" t="s">
        <v>8</v>
      </c>
      <c r="E80" t="s">
        <v>10</v>
      </c>
      <c r="F80">
        <v>60</v>
      </c>
      <c r="G80">
        <v>0.20907899999999999</v>
      </c>
      <c r="H80" t="s">
        <v>61</v>
      </c>
      <c r="J80">
        <f t="shared" si="1"/>
        <v>0.20909999999999998</v>
      </c>
    </row>
    <row r="81" spans="1:10" x14ac:dyDescent="0.3">
      <c r="A81">
        <v>112</v>
      </c>
      <c r="B81">
        <v>26.949581999999999</v>
      </c>
      <c r="C81" t="s">
        <v>41</v>
      </c>
      <c r="D81" t="s">
        <v>8</v>
      </c>
      <c r="E81" t="s">
        <v>10</v>
      </c>
      <c r="F81">
        <v>60</v>
      </c>
      <c r="G81">
        <v>1.64E-4</v>
      </c>
      <c r="H81" t="s">
        <v>62</v>
      </c>
      <c r="J81">
        <f t="shared" si="1"/>
        <v>2.0000000000000001E-4</v>
      </c>
    </row>
    <row r="82" spans="1:10" x14ac:dyDescent="0.3">
      <c r="A82">
        <v>113</v>
      </c>
      <c r="B82">
        <v>26.967058000000002</v>
      </c>
      <c r="C82" t="s">
        <v>41</v>
      </c>
      <c r="D82" t="s">
        <v>8</v>
      </c>
      <c r="E82" t="s">
        <v>47</v>
      </c>
      <c r="F82">
        <v>505</v>
      </c>
      <c r="G82">
        <v>1.7475999999999998E-2</v>
      </c>
      <c r="H82" t="s">
        <v>60</v>
      </c>
      <c r="J82">
        <f t="shared" si="1"/>
        <v>1.7499999999999998E-2</v>
      </c>
    </row>
    <row r="83" spans="1:10" x14ac:dyDescent="0.3">
      <c r="A83">
        <v>114</v>
      </c>
      <c r="B83">
        <v>26.967117999999999</v>
      </c>
      <c r="C83" t="s">
        <v>8</v>
      </c>
      <c r="D83" t="s">
        <v>41</v>
      </c>
      <c r="E83" t="s">
        <v>10</v>
      </c>
      <c r="F83">
        <v>54</v>
      </c>
      <c r="G83">
        <v>6.0000000000000002E-5</v>
      </c>
      <c r="H83" t="s">
        <v>63</v>
      </c>
      <c r="J83">
        <f t="shared" si="1"/>
        <v>1E-4</v>
      </c>
    </row>
    <row r="84" spans="1:10" x14ac:dyDescent="0.3">
      <c r="A84">
        <v>115</v>
      </c>
      <c r="B84">
        <v>26.978963</v>
      </c>
      <c r="C84" t="s">
        <v>8</v>
      </c>
      <c r="D84" t="s">
        <v>9</v>
      </c>
      <c r="E84" t="s">
        <v>10</v>
      </c>
      <c r="F84">
        <v>66</v>
      </c>
      <c r="G84">
        <v>1.1845E-2</v>
      </c>
      <c r="H84" t="s">
        <v>64</v>
      </c>
      <c r="J84">
        <f t="shared" si="1"/>
        <v>1.1899999999999999E-2</v>
      </c>
    </row>
    <row r="85" spans="1:10" x14ac:dyDescent="0.3">
      <c r="A85">
        <v>116</v>
      </c>
      <c r="B85">
        <v>26.995733999999999</v>
      </c>
      <c r="C85" t="s">
        <v>8</v>
      </c>
      <c r="D85" t="s">
        <v>14</v>
      </c>
      <c r="E85" t="s">
        <v>18</v>
      </c>
      <c r="F85">
        <v>71</v>
      </c>
      <c r="G85">
        <v>1.6771000000000001E-2</v>
      </c>
      <c r="H85" t="s">
        <v>28</v>
      </c>
      <c r="J85">
        <f t="shared" si="1"/>
        <v>1.6799999999999999E-2</v>
      </c>
    </row>
    <row r="86" spans="1:10" x14ac:dyDescent="0.3">
      <c r="A86">
        <v>117</v>
      </c>
      <c r="B86">
        <v>26.997381000000001</v>
      </c>
      <c r="C86" t="s">
        <v>14</v>
      </c>
      <c r="D86" t="s">
        <v>8</v>
      </c>
      <c r="E86" t="s">
        <v>18</v>
      </c>
      <c r="F86">
        <v>71</v>
      </c>
      <c r="G86">
        <v>1.647E-3</v>
      </c>
      <c r="H86" t="s">
        <v>28</v>
      </c>
      <c r="J86">
        <f t="shared" si="1"/>
        <v>1.7000000000000001E-3</v>
      </c>
    </row>
    <row r="87" spans="1:10" x14ac:dyDescent="0.3">
      <c r="A87">
        <v>118</v>
      </c>
      <c r="B87">
        <v>27.04121</v>
      </c>
      <c r="C87" t="s">
        <v>8</v>
      </c>
      <c r="D87" t="s">
        <v>14</v>
      </c>
      <c r="E87" t="s">
        <v>10</v>
      </c>
      <c r="F87">
        <v>54</v>
      </c>
      <c r="G87">
        <v>4.3829E-2</v>
      </c>
      <c r="H87" t="s">
        <v>65</v>
      </c>
      <c r="J87">
        <f t="shared" si="1"/>
        <v>4.3900000000000002E-2</v>
      </c>
    </row>
    <row r="88" spans="1:10" x14ac:dyDescent="0.3">
      <c r="A88">
        <v>119</v>
      </c>
      <c r="B88">
        <v>27.087859000000002</v>
      </c>
      <c r="C88" t="s">
        <v>9</v>
      </c>
      <c r="D88" t="s">
        <v>8</v>
      </c>
      <c r="E88" t="s">
        <v>10</v>
      </c>
      <c r="F88">
        <v>60</v>
      </c>
      <c r="G88">
        <v>4.6649000000000003E-2</v>
      </c>
      <c r="H88" t="s">
        <v>49</v>
      </c>
      <c r="J88">
        <f t="shared" si="1"/>
        <v>4.6700000000000005E-2</v>
      </c>
    </row>
    <row r="89" spans="1:10" x14ac:dyDescent="0.3">
      <c r="A89">
        <v>120</v>
      </c>
      <c r="B89">
        <v>27.601189999999999</v>
      </c>
      <c r="C89" t="s">
        <v>8</v>
      </c>
      <c r="D89" t="s">
        <v>9</v>
      </c>
      <c r="E89" t="s">
        <v>10</v>
      </c>
      <c r="F89">
        <v>66</v>
      </c>
      <c r="G89">
        <v>0.51333099999999998</v>
      </c>
      <c r="H89" t="s">
        <v>64</v>
      </c>
      <c r="J89">
        <f t="shared" si="1"/>
        <v>0.51339999999999997</v>
      </c>
    </row>
    <row r="90" spans="1:10" x14ac:dyDescent="0.3">
      <c r="A90">
        <v>121</v>
      </c>
      <c r="B90">
        <v>27.695627999999999</v>
      </c>
      <c r="C90" t="s">
        <v>9</v>
      </c>
      <c r="D90" t="s">
        <v>8</v>
      </c>
      <c r="E90" t="s">
        <v>10</v>
      </c>
      <c r="F90">
        <v>60</v>
      </c>
      <c r="G90">
        <v>9.4437999999999994E-2</v>
      </c>
      <c r="H90" t="s">
        <v>49</v>
      </c>
      <c r="J90">
        <f t="shared" si="1"/>
        <v>9.4500000000000001E-2</v>
      </c>
    </row>
    <row r="91" spans="1:10" x14ac:dyDescent="0.3">
      <c r="A91">
        <v>122</v>
      </c>
      <c r="B91">
        <v>28.019698999999999</v>
      </c>
      <c r="C91" t="s">
        <v>14</v>
      </c>
      <c r="D91" t="s">
        <v>8</v>
      </c>
      <c r="E91" t="s">
        <v>18</v>
      </c>
      <c r="F91">
        <v>71</v>
      </c>
      <c r="G91">
        <v>0.324071</v>
      </c>
      <c r="H91" t="s">
        <v>28</v>
      </c>
      <c r="J91">
        <f t="shared" si="1"/>
        <v>0.3241</v>
      </c>
    </row>
    <row r="92" spans="1:10" x14ac:dyDescent="0.3">
      <c r="A92">
        <v>123</v>
      </c>
      <c r="B92">
        <v>28.072151999999999</v>
      </c>
      <c r="C92" t="s">
        <v>8</v>
      </c>
      <c r="D92" t="s">
        <v>14</v>
      </c>
      <c r="E92" t="s">
        <v>10</v>
      </c>
      <c r="F92">
        <v>54</v>
      </c>
      <c r="G92">
        <v>5.2453E-2</v>
      </c>
      <c r="H92" t="s">
        <v>66</v>
      </c>
      <c r="J92">
        <f t="shared" si="1"/>
        <v>5.2500000000000005E-2</v>
      </c>
    </row>
    <row r="93" spans="1:10" x14ac:dyDescent="0.3">
      <c r="A93">
        <v>124</v>
      </c>
      <c r="B93">
        <v>28.197869000000001</v>
      </c>
      <c r="C93" t="s">
        <v>8</v>
      </c>
      <c r="D93" t="s">
        <v>9</v>
      </c>
      <c r="E93" t="s">
        <v>10</v>
      </c>
      <c r="F93">
        <v>66</v>
      </c>
      <c r="G93">
        <v>0.125717</v>
      </c>
      <c r="H93" t="s">
        <v>64</v>
      </c>
      <c r="J93">
        <f t="shared" si="1"/>
        <v>0.1258</v>
      </c>
    </row>
    <row r="94" spans="1:10" x14ac:dyDescent="0.3">
      <c r="A94">
        <v>125</v>
      </c>
      <c r="B94">
        <v>28.313476000000001</v>
      </c>
      <c r="C94" t="s">
        <v>9</v>
      </c>
      <c r="D94" t="s">
        <v>8</v>
      </c>
      <c r="E94" t="s">
        <v>10</v>
      </c>
      <c r="F94">
        <v>60</v>
      </c>
      <c r="G94">
        <v>0.115607</v>
      </c>
      <c r="H94" t="s">
        <v>49</v>
      </c>
      <c r="J94">
        <f t="shared" si="1"/>
        <v>0.1157</v>
      </c>
    </row>
    <row r="95" spans="1:10" x14ac:dyDescent="0.3">
      <c r="A95">
        <v>126</v>
      </c>
      <c r="B95">
        <v>28.822982</v>
      </c>
      <c r="C95" t="s">
        <v>8</v>
      </c>
      <c r="D95" t="s">
        <v>9</v>
      </c>
      <c r="E95" t="s">
        <v>10</v>
      </c>
      <c r="F95">
        <v>66</v>
      </c>
      <c r="G95">
        <v>0.50950600000000001</v>
      </c>
      <c r="H95" t="s">
        <v>64</v>
      </c>
      <c r="J95">
        <f t="shared" si="1"/>
        <v>0.50959999999999994</v>
      </c>
    </row>
    <row r="96" spans="1:10" x14ac:dyDescent="0.3">
      <c r="A96">
        <v>127</v>
      </c>
      <c r="B96">
        <v>29.056377000000001</v>
      </c>
      <c r="C96" t="s">
        <v>8</v>
      </c>
      <c r="D96" t="s">
        <v>14</v>
      </c>
      <c r="E96" t="s">
        <v>18</v>
      </c>
      <c r="F96">
        <v>71</v>
      </c>
      <c r="G96">
        <v>0.23339499999999999</v>
      </c>
      <c r="H96" t="s">
        <v>28</v>
      </c>
      <c r="J96">
        <f t="shared" si="1"/>
        <v>0.2334</v>
      </c>
    </row>
    <row r="97" spans="1:10" x14ac:dyDescent="0.3">
      <c r="A97">
        <v>128</v>
      </c>
      <c r="B97">
        <v>29.058039000000001</v>
      </c>
      <c r="C97" t="s">
        <v>14</v>
      </c>
      <c r="D97" t="s">
        <v>8</v>
      </c>
      <c r="E97" t="s">
        <v>18</v>
      </c>
      <c r="F97">
        <v>71</v>
      </c>
      <c r="G97">
        <v>1.6620000000000001E-3</v>
      </c>
      <c r="H97" t="s">
        <v>28</v>
      </c>
      <c r="J97">
        <f t="shared" si="1"/>
        <v>1.7000000000000001E-3</v>
      </c>
    </row>
    <row r="98" spans="1:10" x14ac:dyDescent="0.3">
      <c r="A98">
        <v>129</v>
      </c>
      <c r="B98">
        <v>29.104716</v>
      </c>
      <c r="C98" t="s">
        <v>8</v>
      </c>
      <c r="D98" t="s">
        <v>14</v>
      </c>
      <c r="E98" t="s">
        <v>10</v>
      </c>
      <c r="F98">
        <v>54</v>
      </c>
      <c r="G98">
        <v>4.6677000000000003E-2</v>
      </c>
      <c r="H98" t="s">
        <v>67</v>
      </c>
      <c r="J98">
        <f t="shared" si="1"/>
        <v>4.6700000000000005E-2</v>
      </c>
    </row>
    <row r="99" spans="1:10" x14ac:dyDescent="0.3">
      <c r="A99">
        <v>130</v>
      </c>
      <c r="B99">
        <v>29.142907999999998</v>
      </c>
      <c r="C99" t="s">
        <v>9</v>
      </c>
      <c r="D99" t="s">
        <v>8</v>
      </c>
      <c r="E99" t="s">
        <v>10</v>
      </c>
      <c r="F99">
        <v>60</v>
      </c>
      <c r="G99">
        <v>3.8191999999999997E-2</v>
      </c>
      <c r="H99" t="s">
        <v>49</v>
      </c>
      <c r="J99">
        <f t="shared" si="1"/>
        <v>3.8200000000000005E-2</v>
      </c>
    </row>
    <row r="100" spans="1:10" x14ac:dyDescent="0.3">
      <c r="A100">
        <v>131</v>
      </c>
      <c r="B100">
        <v>30.093558000000002</v>
      </c>
      <c r="C100" t="s">
        <v>14</v>
      </c>
      <c r="D100" t="s">
        <v>8</v>
      </c>
      <c r="E100" t="s">
        <v>18</v>
      </c>
      <c r="F100">
        <v>71</v>
      </c>
      <c r="G100">
        <v>0.95065</v>
      </c>
      <c r="H100" t="s">
        <v>28</v>
      </c>
      <c r="J100">
        <f t="shared" si="1"/>
        <v>0.95069999999999999</v>
      </c>
    </row>
    <row r="101" spans="1:10" x14ac:dyDescent="0.3">
      <c r="A101">
        <v>132</v>
      </c>
      <c r="B101">
        <v>30.13513</v>
      </c>
      <c r="C101" t="s">
        <v>8</v>
      </c>
      <c r="D101" t="s">
        <v>14</v>
      </c>
      <c r="E101" t="s">
        <v>10</v>
      </c>
      <c r="F101">
        <v>54</v>
      </c>
      <c r="G101">
        <v>4.1571999999999998E-2</v>
      </c>
      <c r="H101" t="s">
        <v>68</v>
      </c>
      <c r="J101">
        <f t="shared" si="1"/>
        <v>4.1600000000000005E-2</v>
      </c>
    </row>
    <row r="102" spans="1:10" x14ac:dyDescent="0.3">
      <c r="A102">
        <v>133</v>
      </c>
      <c r="B102">
        <v>31.122484</v>
      </c>
      <c r="C102" t="s">
        <v>8</v>
      </c>
      <c r="D102" t="s">
        <v>14</v>
      </c>
      <c r="E102" t="s">
        <v>18</v>
      </c>
      <c r="F102">
        <v>71</v>
      </c>
      <c r="G102">
        <v>0.98735399999999995</v>
      </c>
      <c r="H102" t="s">
        <v>28</v>
      </c>
      <c r="J102">
        <f t="shared" si="1"/>
        <v>0.98739999999999994</v>
      </c>
    </row>
    <row r="103" spans="1:10" x14ac:dyDescent="0.3">
      <c r="A103">
        <v>134</v>
      </c>
      <c r="B103">
        <v>31.126985999999999</v>
      </c>
      <c r="C103" t="s">
        <v>14</v>
      </c>
      <c r="D103" t="s">
        <v>8</v>
      </c>
      <c r="E103" t="s">
        <v>18</v>
      </c>
      <c r="F103">
        <v>71</v>
      </c>
      <c r="G103">
        <v>4.5019999999999999E-3</v>
      </c>
      <c r="H103" t="s">
        <v>28</v>
      </c>
      <c r="J103">
        <f t="shared" si="1"/>
        <v>4.5999999999999999E-3</v>
      </c>
    </row>
    <row r="104" spans="1:10" x14ac:dyDescent="0.3">
      <c r="A104">
        <v>135</v>
      </c>
      <c r="B104">
        <v>31.171793999999998</v>
      </c>
      <c r="C104" t="s">
        <v>8</v>
      </c>
      <c r="D104" t="s">
        <v>14</v>
      </c>
      <c r="E104" t="s">
        <v>10</v>
      </c>
      <c r="F104">
        <v>54</v>
      </c>
      <c r="G104">
        <v>4.4808000000000001E-2</v>
      </c>
      <c r="H104" t="s">
        <v>69</v>
      </c>
      <c r="J104">
        <f t="shared" si="1"/>
        <v>4.4900000000000002E-2</v>
      </c>
    </row>
    <row r="105" spans="1:10" x14ac:dyDescent="0.3">
      <c r="A105">
        <v>138</v>
      </c>
      <c r="B105">
        <v>32.237251999999998</v>
      </c>
      <c r="C105" t="s">
        <v>14</v>
      </c>
      <c r="D105" t="s">
        <v>8</v>
      </c>
      <c r="E105" t="s">
        <v>18</v>
      </c>
      <c r="F105">
        <v>71</v>
      </c>
      <c r="G105">
        <v>1.065458</v>
      </c>
      <c r="H105" t="s">
        <v>28</v>
      </c>
      <c r="J105">
        <f t="shared" si="1"/>
        <v>1.0654999999999999</v>
      </c>
    </row>
    <row r="106" spans="1:10" x14ac:dyDescent="0.3">
      <c r="A106">
        <v>139</v>
      </c>
      <c r="B106">
        <v>32.288249999999998</v>
      </c>
      <c r="C106" t="s">
        <v>8</v>
      </c>
      <c r="D106" t="s">
        <v>14</v>
      </c>
      <c r="E106" t="s">
        <v>10</v>
      </c>
      <c r="F106">
        <v>54</v>
      </c>
      <c r="G106">
        <v>5.0998000000000002E-2</v>
      </c>
      <c r="H106" t="s">
        <v>70</v>
      </c>
      <c r="J106">
        <f t="shared" si="1"/>
        <v>5.1000000000000004E-2</v>
      </c>
    </row>
    <row r="107" spans="1:10" x14ac:dyDescent="0.3">
      <c r="A107">
        <v>140</v>
      </c>
      <c r="B107">
        <v>33.198390000000003</v>
      </c>
      <c r="C107" t="s">
        <v>8</v>
      </c>
      <c r="D107" t="s">
        <v>14</v>
      </c>
      <c r="E107" t="s">
        <v>18</v>
      </c>
      <c r="F107">
        <v>71</v>
      </c>
      <c r="G107">
        <v>0.91013999999999995</v>
      </c>
      <c r="H107" t="s">
        <v>28</v>
      </c>
      <c r="J107">
        <f t="shared" si="1"/>
        <v>0.91020000000000001</v>
      </c>
    </row>
    <row r="108" spans="1:10" x14ac:dyDescent="0.3">
      <c r="A108">
        <v>141</v>
      </c>
      <c r="B108">
        <v>33.199956999999998</v>
      </c>
      <c r="C108" t="s">
        <v>14</v>
      </c>
      <c r="D108" t="s">
        <v>8</v>
      </c>
      <c r="E108" t="s">
        <v>18</v>
      </c>
      <c r="F108">
        <v>71</v>
      </c>
      <c r="G108">
        <v>1.567E-3</v>
      </c>
      <c r="H108" t="s">
        <v>28</v>
      </c>
      <c r="J108">
        <f t="shared" si="1"/>
        <v>1.6000000000000001E-3</v>
      </c>
    </row>
    <row r="109" spans="1:10" x14ac:dyDescent="0.3">
      <c r="A109">
        <v>142</v>
      </c>
      <c r="B109">
        <v>33.241688000000003</v>
      </c>
      <c r="C109" t="s">
        <v>8</v>
      </c>
      <c r="D109" t="s">
        <v>14</v>
      </c>
      <c r="E109" t="s">
        <v>10</v>
      </c>
      <c r="F109">
        <v>54</v>
      </c>
      <c r="G109">
        <v>4.1730999999999997E-2</v>
      </c>
      <c r="H109" t="s">
        <v>71</v>
      </c>
      <c r="J109">
        <f t="shared" si="1"/>
        <v>4.1800000000000004E-2</v>
      </c>
    </row>
    <row r="110" spans="1:10" x14ac:dyDescent="0.3">
      <c r="A110">
        <v>143</v>
      </c>
      <c r="B110">
        <v>34.095624000000001</v>
      </c>
      <c r="C110" t="s">
        <v>14</v>
      </c>
      <c r="D110" t="s">
        <v>8</v>
      </c>
      <c r="E110" t="s">
        <v>18</v>
      </c>
      <c r="F110">
        <v>71</v>
      </c>
      <c r="G110">
        <v>0.85393600000000003</v>
      </c>
      <c r="H110" t="s">
        <v>28</v>
      </c>
      <c r="J110">
        <f t="shared" si="1"/>
        <v>0.85399999999999998</v>
      </c>
    </row>
    <row r="111" spans="1:10" x14ac:dyDescent="0.3">
      <c r="A111">
        <v>144</v>
      </c>
      <c r="B111">
        <v>34.145814000000001</v>
      </c>
      <c r="C111" t="s">
        <v>8</v>
      </c>
      <c r="D111" t="s">
        <v>14</v>
      </c>
      <c r="E111" t="s">
        <v>10</v>
      </c>
      <c r="F111">
        <v>54</v>
      </c>
      <c r="G111">
        <v>5.0189999999999999E-2</v>
      </c>
      <c r="H111" t="s">
        <v>72</v>
      </c>
      <c r="J111">
        <f t="shared" si="1"/>
        <v>5.0200000000000002E-2</v>
      </c>
    </row>
    <row r="112" spans="1:10" x14ac:dyDescent="0.3">
      <c r="A112">
        <v>145</v>
      </c>
      <c r="B112">
        <v>34.866548999999999</v>
      </c>
      <c r="C112" t="s">
        <v>8</v>
      </c>
      <c r="D112" t="s">
        <v>14</v>
      </c>
      <c r="E112" t="s">
        <v>18</v>
      </c>
      <c r="F112">
        <v>71</v>
      </c>
      <c r="G112">
        <v>0.72073500000000001</v>
      </c>
      <c r="H112" t="s">
        <v>28</v>
      </c>
      <c r="J112">
        <f t="shared" si="1"/>
        <v>0.7208</v>
      </c>
    </row>
    <row r="113" spans="1:10" x14ac:dyDescent="0.3">
      <c r="A113">
        <v>146</v>
      </c>
      <c r="B113">
        <v>34.871037000000001</v>
      </c>
      <c r="C113" t="s">
        <v>14</v>
      </c>
      <c r="D113" t="s">
        <v>8</v>
      </c>
      <c r="E113" t="s">
        <v>18</v>
      </c>
      <c r="F113">
        <v>71</v>
      </c>
      <c r="G113">
        <v>4.4879999999999998E-3</v>
      </c>
      <c r="H113" t="s">
        <v>28</v>
      </c>
      <c r="J113">
        <f t="shared" si="1"/>
        <v>4.5000000000000005E-3</v>
      </c>
    </row>
    <row r="114" spans="1:10" x14ac:dyDescent="0.3">
      <c r="A114">
        <v>147</v>
      </c>
      <c r="B114">
        <v>34.922857</v>
      </c>
      <c r="C114" t="s">
        <v>8</v>
      </c>
      <c r="D114" t="s">
        <v>14</v>
      </c>
      <c r="E114" t="s">
        <v>10</v>
      </c>
      <c r="F114">
        <v>54</v>
      </c>
      <c r="G114">
        <v>5.1819999999999998E-2</v>
      </c>
      <c r="H114" t="s">
        <v>73</v>
      </c>
      <c r="J114">
        <f t="shared" si="1"/>
        <v>5.1900000000000002E-2</v>
      </c>
    </row>
    <row r="115" spans="1:10" x14ac:dyDescent="0.3">
      <c r="A115">
        <v>148</v>
      </c>
      <c r="B115">
        <v>35.783732000000001</v>
      </c>
      <c r="C115" t="s">
        <v>14</v>
      </c>
      <c r="D115" t="s">
        <v>8</v>
      </c>
      <c r="E115" t="s">
        <v>18</v>
      </c>
      <c r="F115">
        <v>71</v>
      </c>
      <c r="G115">
        <v>0.86087499999999995</v>
      </c>
      <c r="H115" t="s">
        <v>28</v>
      </c>
      <c r="J115">
        <f t="shared" si="1"/>
        <v>0.8609</v>
      </c>
    </row>
    <row r="116" spans="1:10" x14ac:dyDescent="0.3">
      <c r="A116">
        <v>149</v>
      </c>
      <c r="B116">
        <v>35.829858000000002</v>
      </c>
      <c r="C116" t="s">
        <v>8</v>
      </c>
      <c r="D116" t="s">
        <v>14</v>
      </c>
      <c r="E116" t="s">
        <v>10</v>
      </c>
      <c r="F116">
        <v>54</v>
      </c>
      <c r="G116">
        <v>4.6126E-2</v>
      </c>
      <c r="H116" t="s">
        <v>74</v>
      </c>
      <c r="J116">
        <f t="shared" si="1"/>
        <v>4.6200000000000005E-2</v>
      </c>
    </row>
    <row r="117" spans="1:10" x14ac:dyDescent="0.3">
      <c r="A117">
        <v>150</v>
      </c>
      <c r="B117">
        <v>37.051532000000002</v>
      </c>
      <c r="C117" t="s">
        <v>8</v>
      </c>
      <c r="D117" t="s">
        <v>14</v>
      </c>
      <c r="E117" t="s">
        <v>18</v>
      </c>
      <c r="F117">
        <v>71</v>
      </c>
      <c r="G117">
        <v>1.2216739999999999</v>
      </c>
      <c r="H117" t="s">
        <v>28</v>
      </c>
      <c r="J117">
        <f t="shared" si="1"/>
        <v>1.2217</v>
      </c>
    </row>
    <row r="118" spans="1:10" x14ac:dyDescent="0.3">
      <c r="A118">
        <v>151</v>
      </c>
      <c r="B118">
        <v>37.054023000000001</v>
      </c>
      <c r="C118" t="s">
        <v>14</v>
      </c>
      <c r="D118" t="s">
        <v>8</v>
      </c>
      <c r="E118" t="s">
        <v>18</v>
      </c>
      <c r="F118">
        <v>71</v>
      </c>
      <c r="G118">
        <v>2.4910000000000002E-3</v>
      </c>
      <c r="H118" t="s">
        <v>28</v>
      </c>
      <c r="J118">
        <f t="shared" si="1"/>
        <v>2.4999999999999996E-3</v>
      </c>
    </row>
    <row r="119" spans="1:10" x14ac:dyDescent="0.3">
      <c r="A119">
        <v>152</v>
      </c>
      <c r="B119">
        <v>37.108012000000002</v>
      </c>
      <c r="C119" t="s">
        <v>8</v>
      </c>
      <c r="D119" t="s">
        <v>14</v>
      </c>
      <c r="E119" t="s">
        <v>10</v>
      </c>
      <c r="F119">
        <v>54</v>
      </c>
      <c r="G119">
        <v>5.3989000000000002E-2</v>
      </c>
      <c r="H119" t="s">
        <v>75</v>
      </c>
      <c r="J119">
        <f t="shared" si="1"/>
        <v>5.4000000000000006E-2</v>
      </c>
    </row>
    <row r="120" spans="1:10" x14ac:dyDescent="0.3">
      <c r="A120">
        <v>153</v>
      </c>
      <c r="B120">
        <v>38.073864999999998</v>
      </c>
      <c r="C120" t="s">
        <v>14</v>
      </c>
      <c r="D120" t="s">
        <v>8</v>
      </c>
      <c r="E120" t="s">
        <v>18</v>
      </c>
      <c r="F120">
        <v>71</v>
      </c>
      <c r="G120">
        <v>0.96585299999999996</v>
      </c>
      <c r="H120" t="s">
        <v>28</v>
      </c>
      <c r="J120">
        <f t="shared" si="1"/>
        <v>0.96589999999999998</v>
      </c>
    </row>
    <row r="121" spans="1:10" x14ac:dyDescent="0.3">
      <c r="A121">
        <v>154</v>
      </c>
      <c r="B121">
        <v>38.124546000000002</v>
      </c>
      <c r="C121" t="s">
        <v>8</v>
      </c>
      <c r="D121" t="s">
        <v>14</v>
      </c>
      <c r="E121" t="s">
        <v>10</v>
      </c>
      <c r="F121">
        <v>54</v>
      </c>
      <c r="G121">
        <v>5.0680999999999997E-2</v>
      </c>
      <c r="H121" t="s">
        <v>76</v>
      </c>
      <c r="J121">
        <f t="shared" si="1"/>
        <v>5.0700000000000002E-2</v>
      </c>
    </row>
    <row r="122" spans="1:10" x14ac:dyDescent="0.3">
      <c r="A122">
        <v>155</v>
      </c>
      <c r="B122">
        <v>38.916832999999997</v>
      </c>
      <c r="C122" t="s">
        <v>8</v>
      </c>
      <c r="D122" t="s">
        <v>14</v>
      </c>
      <c r="E122" t="s">
        <v>18</v>
      </c>
      <c r="F122">
        <v>71</v>
      </c>
      <c r="G122">
        <v>0.79228699999999996</v>
      </c>
      <c r="H122" t="s">
        <v>28</v>
      </c>
      <c r="J122">
        <f t="shared" si="1"/>
        <v>0.7923</v>
      </c>
    </row>
    <row r="123" spans="1:10" x14ac:dyDescent="0.3">
      <c r="A123">
        <v>156</v>
      </c>
      <c r="B123">
        <v>38.918847</v>
      </c>
      <c r="C123" t="s">
        <v>14</v>
      </c>
      <c r="D123" t="s">
        <v>8</v>
      </c>
      <c r="E123" t="s">
        <v>18</v>
      </c>
      <c r="F123">
        <v>71</v>
      </c>
      <c r="G123">
        <v>2.0140000000000002E-3</v>
      </c>
      <c r="H123" t="s">
        <v>28</v>
      </c>
      <c r="J123">
        <f t="shared" si="1"/>
        <v>2.0999999999999999E-3</v>
      </c>
    </row>
    <row r="124" spans="1:10" x14ac:dyDescent="0.3">
      <c r="A124">
        <v>157</v>
      </c>
      <c r="B124">
        <v>38.968224999999997</v>
      </c>
      <c r="C124" t="s">
        <v>8</v>
      </c>
      <c r="D124" t="s">
        <v>14</v>
      </c>
      <c r="E124" t="s">
        <v>10</v>
      </c>
      <c r="F124">
        <v>54</v>
      </c>
      <c r="G124">
        <v>4.9377999999999998E-2</v>
      </c>
      <c r="H124" t="s">
        <v>77</v>
      </c>
      <c r="J124">
        <f t="shared" si="1"/>
        <v>4.9399999999999999E-2</v>
      </c>
    </row>
    <row r="125" spans="1:10" x14ac:dyDescent="0.3">
      <c r="A125">
        <v>158</v>
      </c>
      <c r="B125">
        <v>39.181722000000001</v>
      </c>
      <c r="C125" t="s">
        <v>8</v>
      </c>
      <c r="D125" t="s">
        <v>9</v>
      </c>
      <c r="E125" t="s">
        <v>10</v>
      </c>
      <c r="F125">
        <v>66</v>
      </c>
      <c r="G125">
        <v>0.21349699999999999</v>
      </c>
      <c r="H125" t="s">
        <v>78</v>
      </c>
      <c r="J125">
        <f t="shared" si="1"/>
        <v>0.2135</v>
      </c>
    </row>
    <row r="126" spans="1:10" x14ac:dyDescent="0.3">
      <c r="A126">
        <v>159</v>
      </c>
      <c r="B126">
        <v>39.265542000000003</v>
      </c>
      <c r="C126" t="s">
        <v>9</v>
      </c>
      <c r="D126" t="s">
        <v>8</v>
      </c>
      <c r="E126" t="s">
        <v>10</v>
      </c>
      <c r="F126">
        <v>60</v>
      </c>
      <c r="G126">
        <v>8.3820000000000006E-2</v>
      </c>
      <c r="H126" t="s">
        <v>79</v>
      </c>
      <c r="J126">
        <f t="shared" si="1"/>
        <v>8.3900000000000002E-2</v>
      </c>
    </row>
    <row r="127" spans="1:10" x14ac:dyDescent="0.3">
      <c r="A127">
        <v>160</v>
      </c>
      <c r="B127">
        <v>39.775390999999999</v>
      </c>
      <c r="C127" t="s">
        <v>8</v>
      </c>
      <c r="D127" t="s">
        <v>9</v>
      </c>
      <c r="E127" t="s">
        <v>10</v>
      </c>
      <c r="F127">
        <v>66</v>
      </c>
      <c r="G127">
        <v>0.509849</v>
      </c>
      <c r="H127" t="s">
        <v>80</v>
      </c>
      <c r="J127">
        <f t="shared" si="1"/>
        <v>0.50990000000000002</v>
      </c>
    </row>
    <row r="128" spans="1:10" x14ac:dyDescent="0.3">
      <c r="A128">
        <v>161</v>
      </c>
      <c r="B128">
        <v>39.789333999999997</v>
      </c>
      <c r="C128" t="s">
        <v>14</v>
      </c>
      <c r="D128" t="s">
        <v>8</v>
      </c>
      <c r="E128" t="s">
        <v>18</v>
      </c>
      <c r="F128">
        <v>71</v>
      </c>
      <c r="G128">
        <v>1.3943000000000001E-2</v>
      </c>
      <c r="H128" t="s">
        <v>28</v>
      </c>
      <c r="J128">
        <f t="shared" si="1"/>
        <v>1.3999999999999999E-2</v>
      </c>
    </row>
    <row r="129" spans="1:10" x14ac:dyDescent="0.3">
      <c r="A129">
        <v>162</v>
      </c>
      <c r="B129">
        <v>39.836696000000003</v>
      </c>
      <c r="C129" t="s">
        <v>8</v>
      </c>
      <c r="D129" t="s">
        <v>14</v>
      </c>
      <c r="E129" t="s">
        <v>10</v>
      </c>
      <c r="F129">
        <v>54</v>
      </c>
      <c r="G129">
        <v>4.7362000000000001E-2</v>
      </c>
      <c r="H129" t="s">
        <v>81</v>
      </c>
      <c r="J129">
        <f t="shared" si="1"/>
        <v>4.7400000000000005E-2</v>
      </c>
    </row>
    <row r="130" spans="1:10" x14ac:dyDescent="0.3">
      <c r="A130">
        <v>163</v>
      </c>
      <c r="B130">
        <v>40.591954999999999</v>
      </c>
      <c r="C130" t="s">
        <v>8</v>
      </c>
      <c r="D130" t="s">
        <v>14</v>
      </c>
      <c r="E130" t="s">
        <v>18</v>
      </c>
      <c r="F130">
        <v>71</v>
      </c>
      <c r="G130">
        <v>0.75525900000000001</v>
      </c>
      <c r="H130" t="s">
        <v>28</v>
      </c>
      <c r="J130">
        <f t="shared" si="1"/>
        <v>0.75529999999999997</v>
      </c>
    </row>
    <row r="131" spans="1:10" x14ac:dyDescent="0.3">
      <c r="A131">
        <v>164</v>
      </c>
      <c r="B131">
        <v>40.593516999999999</v>
      </c>
      <c r="C131" t="s">
        <v>14</v>
      </c>
      <c r="D131" t="s">
        <v>8</v>
      </c>
      <c r="E131" t="s">
        <v>18</v>
      </c>
      <c r="F131">
        <v>71</v>
      </c>
      <c r="G131">
        <v>1.562E-3</v>
      </c>
      <c r="H131" t="s">
        <v>28</v>
      </c>
      <c r="J131">
        <f t="shared" si="1"/>
        <v>1.6000000000000001E-3</v>
      </c>
    </row>
    <row r="132" spans="1:10" x14ac:dyDescent="0.3">
      <c r="A132">
        <v>165</v>
      </c>
      <c r="B132">
        <v>40.648175000000002</v>
      </c>
      <c r="C132" t="s">
        <v>8</v>
      </c>
      <c r="D132" t="s">
        <v>14</v>
      </c>
      <c r="E132" t="s">
        <v>10</v>
      </c>
      <c r="F132">
        <v>54</v>
      </c>
      <c r="G132">
        <v>5.4657999999999998E-2</v>
      </c>
      <c r="H132" t="s">
        <v>82</v>
      </c>
      <c r="J132">
        <f t="shared" ref="J132:J180" si="2">ROUNDUP(G132,4)</f>
        <v>5.4700000000000006E-2</v>
      </c>
    </row>
    <row r="133" spans="1:10" x14ac:dyDescent="0.3">
      <c r="A133">
        <v>166</v>
      </c>
      <c r="B133">
        <v>41.442445999999997</v>
      </c>
      <c r="C133" t="s">
        <v>14</v>
      </c>
      <c r="D133" t="s">
        <v>8</v>
      </c>
      <c r="E133" t="s">
        <v>18</v>
      </c>
      <c r="F133">
        <v>71</v>
      </c>
      <c r="G133">
        <v>0.79427099999999995</v>
      </c>
      <c r="H133" t="s">
        <v>28</v>
      </c>
      <c r="J133">
        <f t="shared" si="2"/>
        <v>0.79430000000000001</v>
      </c>
    </row>
    <row r="134" spans="1:10" x14ac:dyDescent="0.3">
      <c r="A134">
        <v>167</v>
      </c>
      <c r="B134">
        <v>41.487675000000003</v>
      </c>
      <c r="C134" t="s">
        <v>8</v>
      </c>
      <c r="D134" t="s">
        <v>14</v>
      </c>
      <c r="E134" t="s">
        <v>10</v>
      </c>
      <c r="F134">
        <v>54</v>
      </c>
      <c r="G134">
        <v>4.5228999999999998E-2</v>
      </c>
      <c r="H134" t="s">
        <v>83</v>
      </c>
      <c r="J134">
        <f t="shared" si="2"/>
        <v>4.53E-2</v>
      </c>
    </row>
    <row r="135" spans="1:10" x14ac:dyDescent="0.3">
      <c r="A135">
        <v>168</v>
      </c>
      <c r="B135">
        <v>41.783802000000001</v>
      </c>
      <c r="C135" t="s">
        <v>8</v>
      </c>
      <c r="D135" t="s">
        <v>9</v>
      </c>
      <c r="E135" t="s">
        <v>10</v>
      </c>
      <c r="F135">
        <v>66</v>
      </c>
      <c r="G135">
        <v>0.29612699999999997</v>
      </c>
      <c r="H135" t="s">
        <v>84</v>
      </c>
      <c r="J135">
        <f t="shared" si="2"/>
        <v>0.29619999999999996</v>
      </c>
    </row>
    <row r="136" spans="1:10" x14ac:dyDescent="0.3">
      <c r="A136">
        <v>169</v>
      </c>
      <c r="B136">
        <v>41.931902000000001</v>
      </c>
      <c r="C136" t="s">
        <v>9</v>
      </c>
      <c r="D136" t="s">
        <v>8</v>
      </c>
      <c r="E136" t="s">
        <v>10</v>
      </c>
      <c r="F136">
        <v>60</v>
      </c>
      <c r="G136">
        <v>0.14810000000000001</v>
      </c>
      <c r="H136" t="s">
        <v>79</v>
      </c>
      <c r="J136">
        <f t="shared" si="2"/>
        <v>0.14810000000000001</v>
      </c>
    </row>
    <row r="137" spans="1:10" x14ac:dyDescent="0.3">
      <c r="A137">
        <v>170</v>
      </c>
      <c r="B137">
        <v>42.219265999999998</v>
      </c>
      <c r="C137" t="s">
        <v>8</v>
      </c>
      <c r="D137" t="s">
        <v>14</v>
      </c>
      <c r="E137" t="s">
        <v>18</v>
      </c>
      <c r="F137">
        <v>71</v>
      </c>
      <c r="G137">
        <v>0.28736400000000001</v>
      </c>
      <c r="H137" t="s">
        <v>28</v>
      </c>
      <c r="J137">
        <f t="shared" si="2"/>
        <v>0.28739999999999999</v>
      </c>
    </row>
    <row r="138" spans="1:10" x14ac:dyDescent="0.3">
      <c r="A138">
        <v>171</v>
      </c>
      <c r="B138">
        <v>42.220911000000001</v>
      </c>
      <c r="C138" t="s">
        <v>14</v>
      </c>
      <c r="D138" t="s">
        <v>8</v>
      </c>
      <c r="E138" t="s">
        <v>18</v>
      </c>
      <c r="F138">
        <v>71</v>
      </c>
      <c r="G138">
        <v>1.645E-3</v>
      </c>
      <c r="H138" t="s">
        <v>28</v>
      </c>
      <c r="J138">
        <f t="shared" si="2"/>
        <v>1.7000000000000001E-3</v>
      </c>
    </row>
    <row r="139" spans="1:10" x14ac:dyDescent="0.3">
      <c r="A139">
        <v>172</v>
      </c>
      <c r="B139">
        <v>42.269308000000002</v>
      </c>
      <c r="C139" t="s">
        <v>8</v>
      </c>
      <c r="D139" t="s">
        <v>14</v>
      </c>
      <c r="E139" t="s">
        <v>10</v>
      </c>
      <c r="F139">
        <v>54</v>
      </c>
      <c r="G139">
        <v>4.8397000000000003E-2</v>
      </c>
      <c r="H139" t="s">
        <v>85</v>
      </c>
      <c r="J139">
        <f t="shared" si="2"/>
        <v>4.8400000000000006E-2</v>
      </c>
    </row>
    <row r="140" spans="1:10" x14ac:dyDescent="0.3">
      <c r="A140">
        <v>173</v>
      </c>
      <c r="B140">
        <v>42.440058999999998</v>
      </c>
      <c r="C140" t="s">
        <v>8</v>
      </c>
      <c r="D140" t="s">
        <v>9</v>
      </c>
      <c r="E140" t="s">
        <v>10</v>
      </c>
      <c r="F140">
        <v>66</v>
      </c>
      <c r="G140">
        <v>0.17075099999999999</v>
      </c>
      <c r="H140" t="s">
        <v>80</v>
      </c>
      <c r="J140">
        <f t="shared" si="2"/>
        <v>0.17079999999999998</v>
      </c>
    </row>
    <row r="141" spans="1:10" x14ac:dyDescent="0.3">
      <c r="A141">
        <v>174</v>
      </c>
      <c r="B141">
        <v>42.741458000000002</v>
      </c>
      <c r="C141" t="s">
        <v>9</v>
      </c>
      <c r="D141" t="s">
        <v>8</v>
      </c>
      <c r="E141" t="s">
        <v>10</v>
      </c>
      <c r="F141">
        <v>60</v>
      </c>
      <c r="G141">
        <v>0.30139899999999997</v>
      </c>
      <c r="H141" t="s">
        <v>79</v>
      </c>
      <c r="J141">
        <f t="shared" si="2"/>
        <v>0.3014</v>
      </c>
    </row>
    <row r="142" spans="1:10" x14ac:dyDescent="0.3">
      <c r="A142">
        <v>177</v>
      </c>
      <c r="B142">
        <v>43.251893000000003</v>
      </c>
      <c r="C142" t="s">
        <v>8</v>
      </c>
      <c r="D142" t="s">
        <v>9</v>
      </c>
      <c r="E142" t="s">
        <v>10</v>
      </c>
      <c r="F142">
        <v>66</v>
      </c>
      <c r="G142">
        <v>0.51043499999999997</v>
      </c>
      <c r="H142" t="s">
        <v>80</v>
      </c>
      <c r="J142">
        <f t="shared" si="2"/>
        <v>0.51049999999999995</v>
      </c>
    </row>
    <row r="143" spans="1:10" x14ac:dyDescent="0.3">
      <c r="A143">
        <v>178</v>
      </c>
      <c r="B143">
        <v>43.322780999999999</v>
      </c>
      <c r="C143" t="s">
        <v>14</v>
      </c>
      <c r="D143" t="s">
        <v>8</v>
      </c>
      <c r="E143" t="s">
        <v>18</v>
      </c>
      <c r="F143">
        <v>71</v>
      </c>
      <c r="G143">
        <v>7.0888000000000007E-2</v>
      </c>
      <c r="H143" t="s">
        <v>28</v>
      </c>
      <c r="J143">
        <f t="shared" si="2"/>
        <v>7.0900000000000005E-2</v>
      </c>
    </row>
    <row r="144" spans="1:10" x14ac:dyDescent="0.3">
      <c r="A144">
        <v>179</v>
      </c>
      <c r="B144">
        <v>43.360005999999998</v>
      </c>
      <c r="C144" t="s">
        <v>9</v>
      </c>
      <c r="D144" t="s">
        <v>8</v>
      </c>
      <c r="E144" t="s">
        <v>10</v>
      </c>
      <c r="F144">
        <v>60</v>
      </c>
      <c r="G144">
        <v>3.7225000000000001E-2</v>
      </c>
      <c r="H144" t="s">
        <v>79</v>
      </c>
      <c r="J144">
        <f t="shared" si="2"/>
        <v>3.73E-2</v>
      </c>
    </row>
    <row r="145" spans="1:10" x14ac:dyDescent="0.3">
      <c r="A145">
        <v>184</v>
      </c>
      <c r="B145">
        <v>43.377071000000001</v>
      </c>
      <c r="C145" t="s">
        <v>8</v>
      </c>
      <c r="D145" t="s">
        <v>14</v>
      </c>
      <c r="E145" t="s">
        <v>10</v>
      </c>
      <c r="F145">
        <v>54</v>
      </c>
      <c r="G145">
        <v>1.7065E-2</v>
      </c>
      <c r="H145" t="s">
        <v>86</v>
      </c>
      <c r="J145">
        <f t="shared" si="2"/>
        <v>1.7100000000000001E-2</v>
      </c>
    </row>
    <row r="146" spans="1:10" x14ac:dyDescent="0.3">
      <c r="A146">
        <v>185</v>
      </c>
      <c r="B146">
        <v>44.276961999999997</v>
      </c>
      <c r="C146" t="s">
        <v>8</v>
      </c>
      <c r="D146" t="s">
        <v>14</v>
      </c>
      <c r="E146" t="s">
        <v>18</v>
      </c>
      <c r="F146">
        <v>71</v>
      </c>
      <c r="G146">
        <v>0.899891</v>
      </c>
      <c r="H146" t="s">
        <v>28</v>
      </c>
      <c r="J146">
        <f t="shared" si="2"/>
        <v>0.89990000000000003</v>
      </c>
    </row>
    <row r="147" spans="1:10" x14ac:dyDescent="0.3">
      <c r="A147">
        <v>186</v>
      </c>
      <c r="B147">
        <v>44.279909000000004</v>
      </c>
      <c r="C147" t="s">
        <v>14</v>
      </c>
      <c r="D147" t="s">
        <v>8</v>
      </c>
      <c r="E147" t="s">
        <v>18</v>
      </c>
      <c r="F147">
        <v>71</v>
      </c>
      <c r="G147">
        <v>2.947E-3</v>
      </c>
      <c r="H147" t="s">
        <v>28</v>
      </c>
      <c r="J147">
        <f t="shared" si="2"/>
        <v>2.9999999999999996E-3</v>
      </c>
    </row>
    <row r="148" spans="1:10" x14ac:dyDescent="0.3">
      <c r="A148">
        <v>187</v>
      </c>
      <c r="B148">
        <v>44.32743</v>
      </c>
      <c r="C148" t="s">
        <v>8</v>
      </c>
      <c r="D148" t="s">
        <v>14</v>
      </c>
      <c r="E148" t="s">
        <v>10</v>
      </c>
      <c r="F148">
        <v>54</v>
      </c>
      <c r="G148">
        <v>4.7521000000000001E-2</v>
      </c>
      <c r="H148" t="s">
        <v>87</v>
      </c>
      <c r="J148">
        <f t="shared" si="2"/>
        <v>4.7600000000000003E-2</v>
      </c>
    </row>
    <row r="149" spans="1:10" x14ac:dyDescent="0.3">
      <c r="A149">
        <v>194</v>
      </c>
      <c r="B149">
        <v>45.048594000000001</v>
      </c>
      <c r="C149" t="s">
        <v>14</v>
      </c>
      <c r="D149" t="s">
        <v>8</v>
      </c>
      <c r="E149" t="s">
        <v>18</v>
      </c>
      <c r="F149">
        <v>71</v>
      </c>
      <c r="G149">
        <v>0.72116400000000003</v>
      </c>
      <c r="H149" t="s">
        <v>28</v>
      </c>
      <c r="J149">
        <f t="shared" si="2"/>
        <v>0.72119999999999995</v>
      </c>
    </row>
    <row r="150" spans="1:10" x14ac:dyDescent="0.3">
      <c r="A150">
        <v>195</v>
      </c>
      <c r="B150">
        <v>45.095041999999999</v>
      </c>
      <c r="C150" t="s">
        <v>8</v>
      </c>
      <c r="D150" t="s">
        <v>14</v>
      </c>
      <c r="E150" t="s">
        <v>10</v>
      </c>
      <c r="F150">
        <v>54</v>
      </c>
      <c r="G150">
        <v>4.6448000000000003E-2</v>
      </c>
      <c r="H150" t="s">
        <v>88</v>
      </c>
      <c r="J150">
        <f t="shared" si="2"/>
        <v>4.65E-2</v>
      </c>
    </row>
    <row r="151" spans="1:10" x14ac:dyDescent="0.3">
      <c r="A151">
        <v>196</v>
      </c>
      <c r="B151">
        <v>45.821930999999999</v>
      </c>
      <c r="C151" t="s">
        <v>8</v>
      </c>
      <c r="D151" t="s">
        <v>14</v>
      </c>
      <c r="E151" t="s">
        <v>18</v>
      </c>
      <c r="F151">
        <v>71</v>
      </c>
      <c r="G151">
        <v>0.72688900000000001</v>
      </c>
      <c r="H151" t="s">
        <v>28</v>
      </c>
      <c r="J151">
        <f t="shared" si="2"/>
        <v>0.72689999999999999</v>
      </c>
    </row>
    <row r="152" spans="1:10" x14ac:dyDescent="0.3">
      <c r="A152">
        <v>197</v>
      </c>
      <c r="B152">
        <v>45.823768000000001</v>
      </c>
      <c r="C152" t="s">
        <v>14</v>
      </c>
      <c r="D152" t="s">
        <v>8</v>
      </c>
      <c r="E152" t="s">
        <v>18</v>
      </c>
      <c r="F152">
        <v>71</v>
      </c>
      <c r="G152">
        <v>1.8370000000000001E-3</v>
      </c>
      <c r="H152" t="s">
        <v>28</v>
      </c>
      <c r="J152">
        <f t="shared" si="2"/>
        <v>1.9E-3</v>
      </c>
    </row>
    <row r="153" spans="1:10" x14ac:dyDescent="0.3">
      <c r="A153">
        <v>198</v>
      </c>
      <c r="B153">
        <v>45.870995999999998</v>
      </c>
      <c r="C153" t="s">
        <v>8</v>
      </c>
      <c r="D153" t="s">
        <v>14</v>
      </c>
      <c r="E153" t="s">
        <v>10</v>
      </c>
      <c r="F153">
        <v>54</v>
      </c>
      <c r="G153">
        <v>4.7227999999999999E-2</v>
      </c>
      <c r="H153" t="s">
        <v>89</v>
      </c>
      <c r="J153">
        <f t="shared" si="2"/>
        <v>4.7300000000000002E-2</v>
      </c>
    </row>
    <row r="154" spans="1:10" x14ac:dyDescent="0.3">
      <c r="A154">
        <v>203</v>
      </c>
      <c r="B154">
        <v>46.667807000000003</v>
      </c>
      <c r="C154" t="s">
        <v>14</v>
      </c>
      <c r="D154" t="s">
        <v>8</v>
      </c>
      <c r="E154" t="s">
        <v>18</v>
      </c>
      <c r="F154">
        <v>71</v>
      </c>
      <c r="G154">
        <v>0.79681100000000005</v>
      </c>
      <c r="H154" t="s">
        <v>28</v>
      </c>
      <c r="J154">
        <f t="shared" si="2"/>
        <v>0.79689999999999994</v>
      </c>
    </row>
    <row r="155" spans="1:10" x14ac:dyDescent="0.3">
      <c r="A155">
        <v>204</v>
      </c>
      <c r="B155">
        <v>46.714222999999997</v>
      </c>
      <c r="C155" t="s">
        <v>8</v>
      </c>
      <c r="D155" t="s">
        <v>14</v>
      </c>
      <c r="E155" t="s">
        <v>10</v>
      </c>
      <c r="F155">
        <v>54</v>
      </c>
      <c r="G155">
        <v>4.6415999999999999E-2</v>
      </c>
      <c r="H155" t="s">
        <v>90</v>
      </c>
      <c r="J155">
        <f t="shared" si="2"/>
        <v>4.65E-2</v>
      </c>
    </row>
    <row r="156" spans="1:10" x14ac:dyDescent="0.3">
      <c r="A156">
        <v>205</v>
      </c>
      <c r="B156">
        <v>47.710886000000002</v>
      </c>
      <c r="C156" t="s">
        <v>8</v>
      </c>
      <c r="D156" t="s">
        <v>14</v>
      </c>
      <c r="E156" t="s">
        <v>18</v>
      </c>
      <c r="F156">
        <v>71</v>
      </c>
      <c r="G156">
        <v>0.99666299999999997</v>
      </c>
      <c r="H156" t="s">
        <v>28</v>
      </c>
      <c r="J156">
        <f t="shared" si="2"/>
        <v>0.99670000000000003</v>
      </c>
    </row>
    <row r="157" spans="1:10" x14ac:dyDescent="0.3">
      <c r="A157">
        <v>206</v>
      </c>
      <c r="B157">
        <v>47.716655000000003</v>
      </c>
      <c r="C157" t="s">
        <v>14</v>
      </c>
      <c r="D157" t="s">
        <v>8</v>
      </c>
      <c r="E157" t="s">
        <v>18</v>
      </c>
      <c r="F157">
        <v>71</v>
      </c>
      <c r="G157">
        <v>5.7689999999999998E-3</v>
      </c>
      <c r="H157" t="s">
        <v>28</v>
      </c>
      <c r="J157">
        <f t="shared" si="2"/>
        <v>5.8000000000000005E-3</v>
      </c>
    </row>
    <row r="158" spans="1:10" x14ac:dyDescent="0.3">
      <c r="A158">
        <v>207</v>
      </c>
      <c r="B158">
        <v>47.758066999999997</v>
      </c>
      <c r="C158" t="s">
        <v>8</v>
      </c>
      <c r="D158" t="s">
        <v>14</v>
      </c>
      <c r="E158" t="s">
        <v>10</v>
      </c>
      <c r="F158">
        <v>54</v>
      </c>
      <c r="G158">
        <v>4.1411999999999997E-2</v>
      </c>
      <c r="H158" t="s">
        <v>91</v>
      </c>
      <c r="J158">
        <f t="shared" si="2"/>
        <v>4.1500000000000002E-2</v>
      </c>
    </row>
    <row r="159" spans="1:10" x14ac:dyDescent="0.3">
      <c r="A159">
        <v>211</v>
      </c>
      <c r="B159">
        <v>48.616503999999999</v>
      </c>
      <c r="C159" t="s">
        <v>14</v>
      </c>
      <c r="D159" t="s">
        <v>8</v>
      </c>
      <c r="E159" t="s">
        <v>18</v>
      </c>
      <c r="F159">
        <v>71</v>
      </c>
      <c r="G159">
        <v>0.85843700000000001</v>
      </c>
      <c r="H159" t="s">
        <v>28</v>
      </c>
      <c r="J159">
        <f t="shared" si="2"/>
        <v>0.85850000000000004</v>
      </c>
    </row>
    <row r="160" spans="1:10" x14ac:dyDescent="0.3">
      <c r="A160">
        <v>212</v>
      </c>
      <c r="B160">
        <v>48.662491000000003</v>
      </c>
      <c r="C160" t="s">
        <v>8</v>
      </c>
      <c r="D160" t="s">
        <v>14</v>
      </c>
      <c r="E160" t="s">
        <v>10</v>
      </c>
      <c r="F160">
        <v>54</v>
      </c>
      <c r="G160">
        <v>4.5987E-2</v>
      </c>
      <c r="H160" t="s">
        <v>92</v>
      </c>
      <c r="J160">
        <f t="shared" si="2"/>
        <v>4.6000000000000006E-2</v>
      </c>
    </row>
    <row r="161" spans="1:10" x14ac:dyDescent="0.3">
      <c r="A161">
        <v>213</v>
      </c>
      <c r="B161">
        <v>49.343350000000001</v>
      </c>
      <c r="C161" t="s">
        <v>8</v>
      </c>
      <c r="D161" t="s">
        <v>14</v>
      </c>
      <c r="E161" t="s">
        <v>18</v>
      </c>
      <c r="F161">
        <v>71</v>
      </c>
      <c r="G161">
        <v>0.68085899999999999</v>
      </c>
      <c r="H161" t="s">
        <v>28</v>
      </c>
      <c r="J161">
        <f t="shared" si="2"/>
        <v>0.68089999999999995</v>
      </c>
    </row>
    <row r="162" spans="1:10" x14ac:dyDescent="0.3">
      <c r="A162">
        <v>214</v>
      </c>
      <c r="B162">
        <v>49.346690000000002</v>
      </c>
      <c r="C162" t="s">
        <v>14</v>
      </c>
      <c r="D162" t="s">
        <v>8</v>
      </c>
      <c r="E162" t="s">
        <v>18</v>
      </c>
      <c r="F162">
        <v>71</v>
      </c>
      <c r="G162">
        <v>3.3400000000000001E-3</v>
      </c>
      <c r="H162" t="s">
        <v>28</v>
      </c>
      <c r="J162">
        <f t="shared" si="2"/>
        <v>3.3999999999999998E-3</v>
      </c>
    </row>
    <row r="163" spans="1:10" x14ac:dyDescent="0.3">
      <c r="A163">
        <v>215</v>
      </c>
      <c r="B163">
        <v>49.396836999999998</v>
      </c>
      <c r="C163" t="s">
        <v>8</v>
      </c>
      <c r="D163" t="s">
        <v>14</v>
      </c>
      <c r="E163" t="s">
        <v>10</v>
      </c>
      <c r="F163">
        <v>54</v>
      </c>
      <c r="G163">
        <v>5.0146999999999997E-2</v>
      </c>
      <c r="H163" t="s">
        <v>93</v>
      </c>
      <c r="J163">
        <f t="shared" si="2"/>
        <v>5.0200000000000002E-2</v>
      </c>
    </row>
    <row r="164" spans="1:10" x14ac:dyDescent="0.3">
      <c r="A164">
        <v>216</v>
      </c>
      <c r="B164">
        <v>50.284360999999997</v>
      </c>
      <c r="C164" t="s">
        <v>14</v>
      </c>
      <c r="D164" t="s">
        <v>8</v>
      </c>
      <c r="E164" t="s">
        <v>18</v>
      </c>
      <c r="F164">
        <v>71</v>
      </c>
      <c r="G164">
        <v>0.88752399999999998</v>
      </c>
      <c r="H164" t="s">
        <v>28</v>
      </c>
      <c r="J164">
        <f t="shared" si="2"/>
        <v>0.88759999999999994</v>
      </c>
    </row>
    <row r="165" spans="1:10" x14ac:dyDescent="0.3">
      <c r="A165">
        <v>217</v>
      </c>
      <c r="B165">
        <v>50.339322000000003</v>
      </c>
      <c r="C165" t="s">
        <v>8</v>
      </c>
      <c r="D165" t="s">
        <v>14</v>
      </c>
      <c r="E165" t="s">
        <v>10</v>
      </c>
      <c r="F165">
        <v>54</v>
      </c>
      <c r="G165">
        <v>5.4961000000000003E-2</v>
      </c>
      <c r="H165" t="s">
        <v>94</v>
      </c>
      <c r="J165">
        <f t="shared" si="2"/>
        <v>5.5E-2</v>
      </c>
    </row>
    <row r="166" spans="1:10" x14ac:dyDescent="0.3">
      <c r="A166">
        <v>222</v>
      </c>
      <c r="B166">
        <v>50.969968000000001</v>
      </c>
      <c r="C166" t="s">
        <v>8</v>
      </c>
      <c r="D166" t="s">
        <v>14</v>
      </c>
      <c r="E166" t="s">
        <v>18</v>
      </c>
      <c r="F166">
        <v>71</v>
      </c>
      <c r="G166">
        <v>0.63064600000000004</v>
      </c>
      <c r="H166" t="s">
        <v>28</v>
      </c>
      <c r="J166">
        <f t="shared" si="2"/>
        <v>0.63070000000000004</v>
      </c>
    </row>
    <row r="167" spans="1:10" x14ac:dyDescent="0.3">
      <c r="A167">
        <v>223</v>
      </c>
      <c r="B167">
        <v>50.973909999999997</v>
      </c>
      <c r="C167" t="s">
        <v>14</v>
      </c>
      <c r="D167" t="s">
        <v>8</v>
      </c>
      <c r="E167" t="s">
        <v>18</v>
      </c>
      <c r="F167">
        <v>71</v>
      </c>
      <c r="G167">
        <v>3.9420000000000002E-3</v>
      </c>
      <c r="H167" t="s">
        <v>28</v>
      </c>
      <c r="J167">
        <f t="shared" si="2"/>
        <v>4.0000000000000001E-3</v>
      </c>
    </row>
    <row r="168" spans="1:10" x14ac:dyDescent="0.3">
      <c r="A168">
        <v>224</v>
      </c>
      <c r="B168">
        <v>51.024652000000003</v>
      </c>
      <c r="C168" t="s">
        <v>8</v>
      </c>
      <c r="D168" t="s">
        <v>14</v>
      </c>
      <c r="E168" t="s">
        <v>10</v>
      </c>
      <c r="F168">
        <v>54</v>
      </c>
      <c r="G168">
        <v>5.0742000000000002E-2</v>
      </c>
      <c r="H168" t="s">
        <v>95</v>
      </c>
      <c r="J168">
        <f t="shared" si="2"/>
        <v>5.0800000000000005E-2</v>
      </c>
    </row>
    <row r="169" spans="1:10" x14ac:dyDescent="0.3">
      <c r="A169">
        <v>225</v>
      </c>
      <c r="B169">
        <v>51.750726999999998</v>
      </c>
      <c r="C169" t="s">
        <v>14</v>
      </c>
      <c r="D169" t="s">
        <v>8</v>
      </c>
      <c r="E169" t="s">
        <v>18</v>
      </c>
      <c r="F169">
        <v>71</v>
      </c>
      <c r="G169">
        <v>0.72607500000000003</v>
      </c>
      <c r="H169" t="s">
        <v>28</v>
      </c>
      <c r="J169">
        <f t="shared" si="2"/>
        <v>0.72609999999999997</v>
      </c>
    </row>
    <row r="170" spans="1:10" x14ac:dyDescent="0.3">
      <c r="A170">
        <v>226</v>
      </c>
      <c r="B170">
        <v>51.792690999999998</v>
      </c>
      <c r="C170" t="s">
        <v>8</v>
      </c>
      <c r="D170" t="s">
        <v>14</v>
      </c>
      <c r="E170" t="s">
        <v>10</v>
      </c>
      <c r="F170">
        <v>54</v>
      </c>
      <c r="G170">
        <v>4.1964000000000001E-2</v>
      </c>
      <c r="H170" t="s">
        <v>96</v>
      </c>
      <c r="J170">
        <f t="shared" si="2"/>
        <v>4.2000000000000003E-2</v>
      </c>
    </row>
    <row r="171" spans="1:10" x14ac:dyDescent="0.3">
      <c r="A171">
        <v>227</v>
      </c>
      <c r="B171">
        <v>53.396855000000002</v>
      </c>
      <c r="C171" t="s">
        <v>8</v>
      </c>
      <c r="D171" t="s">
        <v>9</v>
      </c>
      <c r="E171" t="s">
        <v>10</v>
      </c>
      <c r="F171">
        <v>66</v>
      </c>
      <c r="G171">
        <v>1.6041639999999999</v>
      </c>
      <c r="H171" t="s">
        <v>97</v>
      </c>
      <c r="J171">
        <f t="shared" si="2"/>
        <v>1.6042000000000001</v>
      </c>
    </row>
    <row r="172" spans="1:10" x14ac:dyDescent="0.3">
      <c r="A172">
        <v>228</v>
      </c>
      <c r="B172">
        <v>53.713321999999998</v>
      </c>
      <c r="C172" t="s">
        <v>9</v>
      </c>
      <c r="D172" t="s">
        <v>8</v>
      </c>
      <c r="E172" t="s">
        <v>10</v>
      </c>
      <c r="F172">
        <v>60</v>
      </c>
      <c r="G172">
        <v>0.316467</v>
      </c>
      <c r="H172" t="s">
        <v>98</v>
      </c>
      <c r="J172">
        <f t="shared" si="2"/>
        <v>0.3165</v>
      </c>
    </row>
    <row r="173" spans="1:10" x14ac:dyDescent="0.3">
      <c r="A173">
        <v>229</v>
      </c>
      <c r="B173">
        <v>54.221308999999998</v>
      </c>
      <c r="C173" t="s">
        <v>8</v>
      </c>
      <c r="D173" t="s">
        <v>9</v>
      </c>
      <c r="E173" t="s">
        <v>10</v>
      </c>
      <c r="F173">
        <v>66</v>
      </c>
      <c r="G173">
        <v>0.50798699999999997</v>
      </c>
      <c r="H173" t="s">
        <v>99</v>
      </c>
      <c r="J173">
        <f t="shared" si="2"/>
        <v>0.50800000000000001</v>
      </c>
    </row>
    <row r="174" spans="1:10" x14ac:dyDescent="0.3">
      <c r="A174">
        <v>230</v>
      </c>
      <c r="B174">
        <v>54.636485999999998</v>
      </c>
      <c r="C174" t="s">
        <v>9</v>
      </c>
      <c r="D174" t="s">
        <v>8</v>
      </c>
      <c r="E174" t="s">
        <v>10</v>
      </c>
      <c r="F174">
        <v>60</v>
      </c>
      <c r="G174">
        <v>0.41517700000000002</v>
      </c>
      <c r="H174" t="s">
        <v>98</v>
      </c>
      <c r="J174">
        <f t="shared" si="2"/>
        <v>0.41520000000000001</v>
      </c>
    </row>
    <row r="175" spans="1:10" x14ac:dyDescent="0.3">
      <c r="A175">
        <v>231</v>
      </c>
      <c r="B175">
        <v>55.144069999999999</v>
      </c>
      <c r="C175" t="s">
        <v>8</v>
      </c>
      <c r="D175" t="s">
        <v>9</v>
      </c>
      <c r="E175" t="s">
        <v>10</v>
      </c>
      <c r="F175">
        <v>66</v>
      </c>
      <c r="G175">
        <v>0.50758400000000004</v>
      </c>
      <c r="H175" t="s">
        <v>99</v>
      </c>
      <c r="J175">
        <f t="shared" si="2"/>
        <v>0.50759999999999994</v>
      </c>
    </row>
    <row r="176" spans="1:10" x14ac:dyDescent="0.3">
      <c r="A176">
        <v>232</v>
      </c>
      <c r="B176">
        <v>55.429264000000003</v>
      </c>
      <c r="C176" t="s">
        <v>9</v>
      </c>
      <c r="D176" t="s">
        <v>8</v>
      </c>
      <c r="E176" t="s">
        <v>10</v>
      </c>
      <c r="F176">
        <v>60</v>
      </c>
      <c r="G176">
        <v>0.285194</v>
      </c>
      <c r="H176" t="s">
        <v>98</v>
      </c>
      <c r="J176">
        <f t="shared" si="2"/>
        <v>0.28520000000000001</v>
      </c>
    </row>
    <row r="177" spans="1:13" x14ac:dyDescent="0.3">
      <c r="A177">
        <v>233</v>
      </c>
      <c r="B177">
        <v>55.940801999999998</v>
      </c>
      <c r="C177" t="s">
        <v>8</v>
      </c>
      <c r="D177" t="s">
        <v>9</v>
      </c>
      <c r="E177" t="s">
        <v>10</v>
      </c>
      <c r="F177">
        <v>66</v>
      </c>
      <c r="G177">
        <v>0.51153800000000005</v>
      </c>
      <c r="H177" t="s">
        <v>99</v>
      </c>
      <c r="J177">
        <f t="shared" si="2"/>
        <v>0.51159999999999994</v>
      </c>
    </row>
    <row r="178" spans="1:13" x14ac:dyDescent="0.3">
      <c r="A178">
        <v>234</v>
      </c>
      <c r="B178">
        <v>56.059944000000002</v>
      </c>
      <c r="C178" t="s">
        <v>9</v>
      </c>
      <c r="D178" t="s">
        <v>8</v>
      </c>
      <c r="E178" t="s">
        <v>10</v>
      </c>
      <c r="F178">
        <v>60</v>
      </c>
      <c r="G178">
        <v>0.119142</v>
      </c>
      <c r="H178" t="s">
        <v>98</v>
      </c>
      <c r="J178">
        <f t="shared" si="2"/>
        <v>0.1192</v>
      </c>
    </row>
    <row r="179" spans="1:13" x14ac:dyDescent="0.3">
      <c r="A179">
        <v>235</v>
      </c>
      <c r="B179">
        <v>56.566968000000003</v>
      </c>
      <c r="C179" t="s">
        <v>8</v>
      </c>
      <c r="D179" t="s">
        <v>9</v>
      </c>
      <c r="E179" t="s">
        <v>10</v>
      </c>
      <c r="F179">
        <v>66</v>
      </c>
      <c r="G179">
        <v>0.50702400000000003</v>
      </c>
      <c r="H179" t="s">
        <v>99</v>
      </c>
      <c r="J179">
        <f t="shared" si="2"/>
        <v>0.5071</v>
      </c>
    </row>
    <row r="180" spans="1:13" x14ac:dyDescent="0.3">
      <c r="A180">
        <v>236</v>
      </c>
      <c r="B180">
        <v>56.863382000000001</v>
      </c>
      <c r="C180" t="s">
        <v>9</v>
      </c>
      <c r="D180" t="s">
        <v>8</v>
      </c>
      <c r="E180" t="s">
        <v>10</v>
      </c>
      <c r="F180">
        <v>60</v>
      </c>
      <c r="G180">
        <v>0.29641400000000001</v>
      </c>
      <c r="H180" t="s">
        <v>98</v>
      </c>
      <c r="J180">
        <f t="shared" si="2"/>
        <v>0.29649999999999999</v>
      </c>
    </row>
    <row r="181" spans="1:13" x14ac:dyDescent="0.3">
      <c r="I181" s="2" t="s">
        <v>100</v>
      </c>
      <c r="J181" s="1">
        <f>SUM(J2:J180)</f>
        <v>56.872000000000007</v>
      </c>
      <c r="K181" s="1">
        <v>179</v>
      </c>
      <c r="L181" s="1">
        <f>J181/K181</f>
        <v>0.3177206703910615</v>
      </c>
      <c r="M181" s="1" t="s">
        <v>101</v>
      </c>
    </row>
    <row r="182" spans="1:13" x14ac:dyDescent="0.3">
      <c r="I182" s="1"/>
      <c r="J182" s="1"/>
      <c r="K182" s="1"/>
      <c r="L182" s="3">
        <f>L181*1000</f>
        <v>317.7206703910615</v>
      </c>
      <c r="M182" s="1" t="s">
        <v>102</v>
      </c>
    </row>
    <row r="183" spans="1:13" x14ac:dyDescent="0.3">
      <c r="I183" s="1"/>
      <c r="J183" s="1"/>
      <c r="K183" s="1"/>
      <c r="L183" s="1"/>
      <c r="M183" s="1"/>
    </row>
    <row r="184" spans="1:13" x14ac:dyDescent="0.3">
      <c r="I184" s="2" t="s">
        <v>103</v>
      </c>
      <c r="J184" s="1">
        <v>23309</v>
      </c>
      <c r="K184" s="1" t="s">
        <v>104</v>
      </c>
      <c r="L184" s="1"/>
      <c r="M184" s="1"/>
    </row>
    <row r="185" spans="1:13" x14ac:dyDescent="0.3">
      <c r="I185" s="1"/>
      <c r="J185" s="1">
        <f>J184/J181</f>
        <v>409.85018990012657</v>
      </c>
      <c r="K185" s="1" t="s">
        <v>104</v>
      </c>
      <c r="L185" s="1"/>
      <c r="M185" s="1"/>
    </row>
    <row r="186" spans="1:13" x14ac:dyDescent="0.3">
      <c r="I186" s="1"/>
      <c r="J186" s="1">
        <f>J185*8</f>
        <v>3278.8015192010125</v>
      </c>
      <c r="K186" s="1" t="s">
        <v>105</v>
      </c>
      <c r="L186" s="1"/>
      <c r="M186" s="1"/>
    </row>
    <row r="187" spans="1:13" x14ac:dyDescent="0.3">
      <c r="I187" s="1"/>
      <c r="J187" s="3">
        <f>J186/1000</f>
        <v>3.2788015192010125</v>
      </c>
      <c r="K187" s="1" t="s">
        <v>106</v>
      </c>
      <c r="L187" s="1"/>
      <c r="M187" s="1"/>
    </row>
    <row r="188" spans="1:13" x14ac:dyDescent="0.3">
      <c r="I188" s="1"/>
      <c r="J188" s="1"/>
      <c r="K188" s="1"/>
      <c r="L188" s="1"/>
      <c r="M188" s="1"/>
    </row>
    <row r="189" spans="1:13" x14ac:dyDescent="0.3">
      <c r="I189" s="2" t="s">
        <v>107</v>
      </c>
      <c r="J189" s="1">
        <v>179</v>
      </c>
      <c r="K189" s="1" t="s">
        <v>108</v>
      </c>
      <c r="L189" s="1"/>
      <c r="M189" s="1"/>
    </row>
    <row r="190" spans="1:13" x14ac:dyDescent="0.3">
      <c r="I190" s="1"/>
      <c r="J190" s="1">
        <v>0</v>
      </c>
      <c r="K190" s="1" t="s">
        <v>109</v>
      </c>
      <c r="L190" s="1"/>
      <c r="M190" s="1"/>
    </row>
    <row r="191" spans="1:13" x14ac:dyDescent="0.3">
      <c r="I191" s="1"/>
      <c r="J191" s="3">
        <f>(J190/J189)*100%</f>
        <v>0</v>
      </c>
      <c r="K191" s="1" t="s">
        <v>110</v>
      </c>
      <c r="L191" s="1"/>
      <c r="M19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2025-03-05T13:24:28Z</dcterms:created>
  <dcterms:modified xsi:type="dcterms:W3CDTF">2025-04-30T07:19:44Z</dcterms:modified>
</cp:coreProperties>
</file>