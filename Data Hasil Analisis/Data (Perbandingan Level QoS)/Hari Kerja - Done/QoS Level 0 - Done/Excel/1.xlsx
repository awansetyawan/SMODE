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0\Excel\"/>
    </mc:Choice>
  </mc:AlternateContent>
  <xr:revisionPtr revIDLastSave="0" documentId="13_ncr:1_{9B095892-A94C-4A14-A41A-DFC970BFAEA0}" xr6:coauthVersionLast="47" xr6:coauthVersionMax="47" xr10:uidLastSave="{00000000-0000-0000-0000-000000000000}"/>
  <bookViews>
    <workbookView xWindow="-108" yWindow="-108" windowWidth="23256" windowHeight="13176" xr2:uid="{80A244AE-5354-4DB0-ACD6-0AAF06D6BEA4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M153" i="1" l="1"/>
  <c r="M152" i="1"/>
  <c r="K16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3" i="1"/>
  <c r="K152" i="1" s="1"/>
  <c r="K156" i="1" l="1"/>
  <c r="K157" i="1" s="1"/>
  <c r="K158" i="1" s="1"/>
</calcChain>
</file>

<file path=xl/sharedStrings.xml><?xml version="1.0" encoding="utf-8"?>
<sst xmlns="http://schemas.openxmlformats.org/spreadsheetml/2006/main" count="620" uniqueCount="87">
  <si>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</si>
  <si>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</si>
  <si>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</si>
  <si>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</si>
  <si>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</si>
  <si>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</si>
  <si>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</si>
  <si>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</si>
  <si>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</si>
  <si>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10.10.200.223</t>
  </si>
  <si>
    <t>TCP</t>
  </si>
  <si>
    <t>56496  &gt;  80 [SYN] Seq=0 Win=64240 Len=0 MSS=1460 WS=256 SACK_PERM</t>
  </si>
  <si>
    <t>80  &gt;  56496 [RST, ACK] Seq=1 Ack=1 Win=0 Len=0</t>
  </si>
  <si>
    <t>[TCP Port numbers reused] 56496  &gt;  80 [SYN] Seq=0 Win=64240 Len=0 MSS=1460 WS=256 SACK_PERM</t>
  </si>
  <si>
    <t>192.168.2.4</t>
  </si>
  <si>
    <t>56497  &gt;  1883 [SYN] Seq=0 Win=64240 Len=0 MSS=1460 WS=256 SACK_PERM</t>
  </si>
  <si>
    <t>1883  &gt;  56497 [SYN, ACK] Seq=0 Ack=1 Win=64240 Len=0 MSS=1460 SACK_PERM WS=128</t>
  </si>
  <si>
    <t>56497  &gt;  1883 [ACK] Seq=1 Ack=1 Win=131328 Len=0</t>
  </si>
  <si>
    <t>MQTT</t>
  </si>
  <si>
    <t>Connect Command</t>
  </si>
  <si>
    <t>1883  &gt;  56497 [ACK] Seq=1 Ack=46 Win=64256 Len=0</t>
  </si>
  <si>
    <t>Connect Ack</t>
  </si>
  <si>
    <t>56497  &gt;  1883 [ACK] Seq=46 Ack=5 Win=131328 Len=0</t>
  </si>
  <si>
    <t>Subscribe Request (id=50237) [test/QoS/]</t>
  </si>
  <si>
    <t>Subscribe Ack (id=50237)</t>
  </si>
  <si>
    <t>56497  &gt;  1883 [ACK] Seq=62 Ack=10 Win=131328 Len=0</t>
  </si>
  <si>
    <t>Publish Message [test/QoS/]</t>
  </si>
  <si>
    <t>56497  &gt;  1883 [ACK] Seq=79 Ack=27 Win=131328 Len=0</t>
  </si>
  <si>
    <t>56497  &gt;  1883 [ACK] Seq=79 Ack=44 Win=131328 Len=0</t>
  </si>
  <si>
    <t>56497  &gt;  1883 [ACK] Seq=96 Ack=61 Win=131328 Len=0</t>
  </si>
  <si>
    <t>56497  &gt;  1883 [ACK] Seq=96 Ack=78 Win=131072 Len=0</t>
  </si>
  <si>
    <t>56497  &gt;  1883 [ACK] Seq=113 Ack=95 Win=131072 Len=0</t>
  </si>
  <si>
    <t>56498  &gt;  80 [SYN] Seq=0 Win=64240 Len=0 MSS=1460 WS=256 SACK_PERM</t>
  </si>
  <si>
    <t>80  &gt;  56498 [RST, ACK] Seq=1 Ack=1 Win=0 Len=0</t>
  </si>
  <si>
    <t>56497  &gt;  1883 [ACK] Seq=113 Ack=112 Win=131072 Len=0</t>
  </si>
  <si>
    <t>[TCP Port numbers reused] 56498  &gt;  80 [SYN] Seq=0 Win=64240 Len=0 MSS=1460 WS=256 SACK_PERM</t>
  </si>
  <si>
    <t>56497  &gt;  1883 [ACK] Seq=130 Ack=129 Win=131072 Len=0</t>
  </si>
  <si>
    <t>56497  &gt;  1883 [ACK] Seq=130 Ack=146 Win=131072 Len=0</t>
  </si>
  <si>
    <t>56497  &gt;  1883 [ACK] Seq=147 Ack=163 Win=131072 Len=0</t>
  </si>
  <si>
    <t>56497  &gt;  1883 [ACK] Seq=147 Ack=180 Win=131072 Len=0</t>
  </si>
  <si>
    <t>56497  &gt;  1883 [ACK] Seq=164 Ack=197 Win=131072 Len=0</t>
  </si>
  <si>
    <t>56497  &gt;  1883 [ACK] Seq=164 Ack=214 Win=131072 Len=0</t>
  </si>
  <si>
    <t>56497  &gt;  1883 [ACK] Seq=181 Ack=231 Win=131072 Len=0</t>
  </si>
  <si>
    <t>56497  &gt;  1883 [ACK] Seq=181 Ack=248 Win=131072 Len=0</t>
  </si>
  <si>
    <t>56497  &gt;  1883 [ACK] Seq=198 Ack=265 Win=131072 Len=0</t>
  </si>
  <si>
    <t>56497  &gt;  1883 [ACK] Seq=198 Ack=282 Win=131072 Len=0</t>
  </si>
  <si>
    <t>56497  &gt;  1883 [ACK] Seq=215 Ack=299 Win=131072 Len=0</t>
  </si>
  <si>
    <t>56499  &gt;  80 [SYN] Seq=0 Win=64240 Len=0 MSS=1460 WS=256 SACK_PERM</t>
  </si>
  <si>
    <t>80  &gt;  56499 [RST, ACK] Seq=1 Ack=1 Win=0 Len=0</t>
  </si>
  <si>
    <t>56497  &gt;  1883 [ACK] Seq=215 Ack=316 Win=131072 Len=0</t>
  </si>
  <si>
    <t>[TCP Port numbers reused] 56499  &gt;  80 [SYN] Seq=0 Win=64240 Len=0 MSS=1460 WS=256 SACK_PERM</t>
  </si>
  <si>
    <t>56497  &gt;  1883 [ACK] Seq=232 Ack=333 Win=130816 Len=0</t>
  </si>
  <si>
    <t>56497  &gt;  1883 [ACK] Seq=232 Ack=350 Win=130816 Len=0</t>
  </si>
  <si>
    <t>56497  &gt;  1883 [ACK] Seq=249 Ack=367 Win=130816 Len=0</t>
  </si>
  <si>
    <t>56497  &gt;  1883 [ACK] Seq=249 Ack=384 Win=130816 Len=0</t>
  </si>
  <si>
    <t>56497  &gt;  1883 [ACK] Seq=266 Ack=401 Win=130816 Len=0</t>
  </si>
  <si>
    <t>56497  &gt;  1883 [ACK] Seq=266 Ack=418 Win=130816 Len=0</t>
  </si>
  <si>
    <t>56497  &gt;  1883 [ACK] Seq=283 Ack=435 Win=130816 Len=0</t>
  </si>
  <si>
    <t>56497  &gt;  1883 [ACK] Seq=283 Ack=452 Win=130816 Len=0</t>
  </si>
  <si>
    <t>56497  &gt;  1883 [ACK] Seq=300 Ack=469 Win=130816 Len=0</t>
  </si>
  <si>
    <t>56497  &gt;  1883 [ACK] Seq=300 Ack=486 Win=130816 Len=0</t>
  </si>
  <si>
    <t>56497  &gt;  1883 [ACK] Seq=317 Ack=503 Win=130816 Len=0</t>
  </si>
  <si>
    <t>56497  &gt;  1883 [ACK] Seq=317 Ack=520 Win=130816 Len=0</t>
  </si>
  <si>
    <t>56500  &gt;  80 [SYN] Seq=0 Win=64240 Len=0 MSS=1460 WS=256 SACK_PERM</t>
  </si>
  <si>
    <t>80  &gt;  56500 [RST, ACK] Seq=1 Ack=1 Win=0 Len=0</t>
  </si>
  <si>
    <t>56497  &gt;  1883 [ACK] Seq=334 Ack=537 Win=130816 Len=0</t>
  </si>
  <si>
    <t>[TCP Port numbers reused] 56500  &gt;  80 [SYN] Seq=0 Win=64240 Len=0 MSS=1460 WS=256 SACK_PERM</t>
  </si>
  <si>
    <t>56497  &gt;  1883 [ACK] Seq=334 Ack=554 Win=130816 Len=0</t>
  </si>
  <si>
    <t>56497  &gt;  1883 [ACK] Seq=351 Ack=571 Win=130816 Len=0</t>
  </si>
  <si>
    <t>56497  &gt;  1883 [ACK] Seq=351 Ack=588 Win=130560 Len=0</t>
  </si>
  <si>
    <t>56497  &gt;  1883 [ACK] Seq=368 Ack=605 Win=130560 Len=0</t>
  </si>
  <si>
    <t>56497  &gt;  1883 [ACK] Seq=368 Ack=622 Win=130560 Len=0</t>
  </si>
  <si>
    <t>56497  &gt;  1883 [ACK] Seq=385 Ack=639 Win=130560 Len=0</t>
  </si>
  <si>
    <t>56497  &gt;  1883 [ACK] Seq=385 Ack=656 Win=130560 Len=0</t>
  </si>
  <si>
    <t>56497  &gt;  1883 [ACK] Seq=402 Ack=673 Win=130560 Len=0</t>
  </si>
  <si>
    <t>56497  &gt;  1883 [ACK] Seq=402 Ack=690 Win=130560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</si>
  <si>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</si>
  <si>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</si>
  <si>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</si>
  <si>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</si>
  <si>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</si>
  <si>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</si>
  <si>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</si>
  <si>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</si>
  <si>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packets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</si>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</sst>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1855428</xdr:colOff>
      <xdr:row>151</xdr:row>
      <xdr:rowOff>12227</xdr:rowOff>
    </xdr:from>
    <xdr:to>
      <xdr:col>8</xdr:col>
      <xdr:colOff>590508</xdr:colOff>
      <xdr:row>177</xdr:row>
      <xdr:rowOff>122371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BF490-A309-2675-1A0E-12967506E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6571" y="27829414"/>
          <a:ext cx="7091959" cy="48998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A289-CE0B-4AEF-9A26-5F8C8D043FDF}">
  <dimension ref="A1:N163"/>
  <sheetViews>
    <sheetView tabSelected="1" topLeftCell="G144" zoomScale="91" workbookViewId="0">
      <selection activeCell="Q156" sqref="Q156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10" max="10" width="11.6640625" bestFit="1" customWidth="1"/>
    <col min="12" max="12" width="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K2">
        <v>0</v>
      </c>
    </row>
    <row r="3" spans="1:11" x14ac:dyDescent="0.3">
      <c r="A3">
        <v>2</v>
      </c>
      <c r="B3">
        <v>0.28640399999999999</v>
      </c>
      <c r="C3" t="s">
        <v>9</v>
      </c>
      <c r="D3" t="s">
        <v>8</v>
      </c>
      <c r="E3" t="s">
        <v>10</v>
      </c>
      <c r="F3">
        <v>60</v>
      </c>
      <c r="G3">
        <v>0.28640399999999999</v>
      </c>
      <c r="H3" t="s">
        <v>12</v>
      </c>
      <c r="K3">
        <f>ROUNDUP(G3,4)</f>
        <v>0.28649999999999998</v>
      </c>
    </row>
    <row r="4" spans="1:11" x14ac:dyDescent="0.3">
      <c r="A4">
        <v>3</v>
      </c>
      <c r="B4">
        <v>0.79118500000000003</v>
      </c>
      <c r="C4" t="s">
        <v>8</v>
      </c>
      <c r="D4" t="s">
        <v>9</v>
      </c>
      <c r="E4" t="s">
        <v>10</v>
      </c>
      <c r="F4">
        <v>66</v>
      </c>
      <c r="G4">
        <v>0.50478100000000004</v>
      </c>
      <c r="H4" t="s">
        <v>13</v>
      </c>
      <c r="K4">
        <f t="shared" ref="K4:K67" si="0">ROUNDUP(G4,4)</f>
        <v>0.50480000000000003</v>
      </c>
    </row>
    <row r="5" spans="1:11" x14ac:dyDescent="0.3">
      <c r="A5">
        <v>4</v>
      </c>
      <c r="B5">
        <v>1.109175</v>
      </c>
      <c r="C5" t="s">
        <v>9</v>
      </c>
      <c r="D5" t="s">
        <v>8</v>
      </c>
      <c r="E5" t="s">
        <v>10</v>
      </c>
      <c r="F5">
        <v>60</v>
      </c>
      <c r="G5">
        <v>0.31798999999999999</v>
      </c>
      <c r="H5" t="s">
        <v>12</v>
      </c>
      <c r="K5">
        <f t="shared" si="0"/>
        <v>0.318</v>
      </c>
    </row>
    <row r="6" spans="1:11" x14ac:dyDescent="0.3">
      <c r="A6">
        <v>5</v>
      </c>
      <c r="B6">
        <v>1.6190469999999999</v>
      </c>
      <c r="C6" t="s">
        <v>8</v>
      </c>
      <c r="D6" t="s">
        <v>9</v>
      </c>
      <c r="E6" t="s">
        <v>10</v>
      </c>
      <c r="F6">
        <v>66</v>
      </c>
      <c r="G6">
        <v>0.50987199999999999</v>
      </c>
      <c r="H6" t="s">
        <v>13</v>
      </c>
      <c r="K6">
        <f t="shared" si="0"/>
        <v>0.50990000000000002</v>
      </c>
    </row>
    <row r="7" spans="1:11" x14ac:dyDescent="0.3">
      <c r="A7">
        <v>6</v>
      </c>
      <c r="B7">
        <v>1.9370510000000001</v>
      </c>
      <c r="C7" t="s">
        <v>9</v>
      </c>
      <c r="D7" t="s">
        <v>8</v>
      </c>
      <c r="E7" t="s">
        <v>10</v>
      </c>
      <c r="F7">
        <v>60</v>
      </c>
      <c r="G7">
        <v>0.31800400000000001</v>
      </c>
      <c r="H7" t="s">
        <v>12</v>
      </c>
      <c r="K7">
        <f t="shared" si="0"/>
        <v>0.31809999999999999</v>
      </c>
    </row>
    <row r="8" spans="1:11" x14ac:dyDescent="0.3">
      <c r="A8">
        <v>7</v>
      </c>
      <c r="B8">
        <v>2.4460480000000002</v>
      </c>
      <c r="C8" t="s">
        <v>8</v>
      </c>
      <c r="D8" t="s">
        <v>9</v>
      </c>
      <c r="E8" t="s">
        <v>10</v>
      </c>
      <c r="F8">
        <v>66</v>
      </c>
      <c r="G8">
        <v>0.50899700000000003</v>
      </c>
      <c r="H8" t="s">
        <v>13</v>
      </c>
      <c r="K8">
        <f t="shared" si="0"/>
        <v>0.50900000000000001</v>
      </c>
    </row>
    <row r="9" spans="1:11" x14ac:dyDescent="0.3">
      <c r="A9">
        <v>8</v>
      </c>
      <c r="B9">
        <v>2.7421340000000001</v>
      </c>
      <c r="C9" t="s">
        <v>9</v>
      </c>
      <c r="D9" t="s">
        <v>8</v>
      </c>
      <c r="E9" t="s">
        <v>10</v>
      </c>
      <c r="F9">
        <v>60</v>
      </c>
      <c r="G9">
        <v>0.29608600000000002</v>
      </c>
      <c r="H9" t="s">
        <v>12</v>
      </c>
      <c r="K9">
        <f t="shared" si="0"/>
        <v>0.29609999999999997</v>
      </c>
    </row>
    <row r="10" spans="1:11" x14ac:dyDescent="0.3">
      <c r="A10">
        <v>9</v>
      </c>
      <c r="B10">
        <v>3.254051</v>
      </c>
      <c r="C10" t="s">
        <v>8</v>
      </c>
      <c r="D10" t="s">
        <v>9</v>
      </c>
      <c r="E10" t="s">
        <v>10</v>
      </c>
      <c r="F10">
        <v>66</v>
      </c>
      <c r="G10">
        <v>0.51191699999999996</v>
      </c>
      <c r="H10" t="s">
        <v>13</v>
      </c>
      <c r="K10">
        <f t="shared" si="0"/>
        <v>0.51200000000000001</v>
      </c>
    </row>
    <row r="11" spans="1:11" x14ac:dyDescent="0.3">
      <c r="A11">
        <v>10</v>
      </c>
      <c r="B11">
        <v>3.4637869999999999</v>
      </c>
      <c r="C11" t="s">
        <v>9</v>
      </c>
      <c r="D11" t="s">
        <v>8</v>
      </c>
      <c r="E11" t="s">
        <v>10</v>
      </c>
      <c r="F11">
        <v>60</v>
      </c>
      <c r="G11">
        <v>0.20973600000000001</v>
      </c>
      <c r="H11" t="s">
        <v>12</v>
      </c>
      <c r="K11">
        <f t="shared" si="0"/>
        <v>0.20979999999999999</v>
      </c>
    </row>
    <row r="12" spans="1:11" x14ac:dyDescent="0.3">
      <c r="A12">
        <v>15</v>
      </c>
      <c r="B12">
        <v>3.609632</v>
      </c>
      <c r="C12" t="s">
        <v>8</v>
      </c>
      <c r="D12" t="s">
        <v>14</v>
      </c>
      <c r="E12" t="s">
        <v>10</v>
      </c>
      <c r="F12">
        <v>66</v>
      </c>
      <c r="G12">
        <v>0.145845</v>
      </c>
      <c r="H12" t="s">
        <v>15</v>
      </c>
      <c r="K12">
        <f t="shared" si="0"/>
        <v>0.1459</v>
      </c>
    </row>
    <row r="13" spans="1:11" x14ac:dyDescent="0.3">
      <c r="A13">
        <v>16</v>
      </c>
      <c r="B13">
        <v>3.6107200000000002</v>
      </c>
      <c r="C13" t="s">
        <v>14</v>
      </c>
      <c r="D13" t="s">
        <v>8</v>
      </c>
      <c r="E13" t="s">
        <v>10</v>
      </c>
      <c r="F13">
        <v>66</v>
      </c>
      <c r="G13">
        <v>1.088E-3</v>
      </c>
      <c r="H13" t="s">
        <v>16</v>
      </c>
      <c r="K13">
        <f t="shared" si="0"/>
        <v>1.1000000000000001E-3</v>
      </c>
    </row>
    <row r="14" spans="1:11" x14ac:dyDescent="0.3">
      <c r="A14">
        <v>17</v>
      </c>
      <c r="B14">
        <v>3.6108630000000002</v>
      </c>
      <c r="C14" t="s">
        <v>8</v>
      </c>
      <c r="D14" t="s">
        <v>14</v>
      </c>
      <c r="E14" t="s">
        <v>10</v>
      </c>
      <c r="F14">
        <v>54</v>
      </c>
      <c r="G14">
        <v>1.4300000000000001E-4</v>
      </c>
      <c r="H14" t="s">
        <v>17</v>
      </c>
      <c r="K14">
        <f t="shared" si="0"/>
        <v>2.0000000000000001E-4</v>
      </c>
    </row>
    <row r="15" spans="1:11" x14ac:dyDescent="0.3">
      <c r="A15">
        <v>18</v>
      </c>
      <c r="B15">
        <v>3.615418</v>
      </c>
      <c r="C15" t="s">
        <v>8</v>
      </c>
      <c r="D15" t="s">
        <v>14</v>
      </c>
      <c r="E15" t="s">
        <v>18</v>
      </c>
      <c r="F15">
        <v>99</v>
      </c>
      <c r="G15">
        <v>4.555E-3</v>
      </c>
      <c r="H15" t="s">
        <v>19</v>
      </c>
      <c r="K15">
        <f t="shared" si="0"/>
        <v>4.5999999999999999E-3</v>
      </c>
    </row>
    <row r="16" spans="1:11" x14ac:dyDescent="0.3">
      <c r="A16">
        <v>19</v>
      </c>
      <c r="B16">
        <v>3.6163539999999998</v>
      </c>
      <c r="C16" t="s">
        <v>14</v>
      </c>
      <c r="D16" t="s">
        <v>8</v>
      </c>
      <c r="E16" t="s">
        <v>10</v>
      </c>
      <c r="F16">
        <v>60</v>
      </c>
      <c r="G16">
        <v>9.3599999999999998E-4</v>
      </c>
      <c r="H16" t="s">
        <v>20</v>
      </c>
      <c r="K16">
        <f t="shared" si="0"/>
        <v>1E-3</v>
      </c>
    </row>
    <row r="17" spans="1:11" x14ac:dyDescent="0.3">
      <c r="A17">
        <v>20</v>
      </c>
      <c r="B17">
        <v>3.617918</v>
      </c>
      <c r="C17" t="s">
        <v>14</v>
      </c>
      <c r="D17" t="s">
        <v>8</v>
      </c>
      <c r="E17" t="s">
        <v>18</v>
      </c>
      <c r="F17">
        <v>60</v>
      </c>
      <c r="G17">
        <v>1.5640000000000001E-3</v>
      </c>
      <c r="H17" t="s">
        <v>21</v>
      </c>
      <c r="K17">
        <f t="shared" si="0"/>
        <v>1.6000000000000001E-3</v>
      </c>
    </row>
    <row r="18" spans="1:11" x14ac:dyDescent="0.3">
      <c r="A18">
        <v>21</v>
      </c>
      <c r="B18">
        <v>3.660002</v>
      </c>
      <c r="C18" t="s">
        <v>8</v>
      </c>
      <c r="D18" t="s">
        <v>14</v>
      </c>
      <c r="E18" t="s">
        <v>10</v>
      </c>
      <c r="F18">
        <v>54</v>
      </c>
      <c r="G18">
        <v>4.2084000000000003E-2</v>
      </c>
      <c r="H18" t="s">
        <v>22</v>
      </c>
      <c r="K18">
        <f t="shared" si="0"/>
        <v>4.2100000000000005E-2</v>
      </c>
    </row>
    <row r="19" spans="1:11" x14ac:dyDescent="0.3">
      <c r="A19">
        <v>22</v>
      </c>
      <c r="B19">
        <v>3.6969159999999999</v>
      </c>
      <c r="C19" t="s">
        <v>8</v>
      </c>
      <c r="D19" t="s">
        <v>14</v>
      </c>
      <c r="E19" t="s">
        <v>18</v>
      </c>
      <c r="F19">
        <v>70</v>
      </c>
      <c r="G19">
        <v>3.6914000000000002E-2</v>
      </c>
      <c r="H19" t="s">
        <v>23</v>
      </c>
      <c r="K19">
        <f t="shared" si="0"/>
        <v>3.7000000000000005E-2</v>
      </c>
    </row>
    <row r="20" spans="1:11" x14ac:dyDescent="0.3">
      <c r="A20">
        <v>23</v>
      </c>
      <c r="B20">
        <v>3.6996000000000002</v>
      </c>
      <c r="C20" t="s">
        <v>14</v>
      </c>
      <c r="D20" t="s">
        <v>8</v>
      </c>
      <c r="E20" t="s">
        <v>18</v>
      </c>
      <c r="F20">
        <v>60</v>
      </c>
      <c r="G20">
        <v>2.6840000000000002E-3</v>
      </c>
      <c r="H20" t="s">
        <v>24</v>
      </c>
      <c r="K20">
        <f t="shared" si="0"/>
        <v>2.6999999999999997E-3</v>
      </c>
    </row>
    <row r="21" spans="1:11" x14ac:dyDescent="0.3">
      <c r="A21">
        <v>24</v>
      </c>
      <c r="B21">
        <v>3.7554090000000002</v>
      </c>
      <c r="C21" t="s">
        <v>8</v>
      </c>
      <c r="D21" t="s">
        <v>14</v>
      </c>
      <c r="E21" t="s">
        <v>10</v>
      </c>
      <c r="F21">
        <v>54</v>
      </c>
      <c r="G21">
        <v>5.5808999999999997E-2</v>
      </c>
      <c r="H21" t="s">
        <v>25</v>
      </c>
      <c r="K21">
        <f t="shared" si="0"/>
        <v>5.5900000000000005E-2</v>
      </c>
    </row>
    <row r="22" spans="1:11" x14ac:dyDescent="0.3">
      <c r="A22">
        <v>33</v>
      </c>
      <c r="B22">
        <v>7.0386030000000002</v>
      </c>
      <c r="C22" t="s">
        <v>8</v>
      </c>
      <c r="D22" t="s">
        <v>14</v>
      </c>
      <c r="E22" t="s">
        <v>18</v>
      </c>
      <c r="F22">
        <v>71</v>
      </c>
      <c r="G22">
        <v>3.2831939999999999</v>
      </c>
      <c r="H22" t="s">
        <v>26</v>
      </c>
      <c r="K22">
        <f t="shared" si="0"/>
        <v>3.2832000000000003</v>
      </c>
    </row>
    <row r="23" spans="1:11" x14ac:dyDescent="0.3">
      <c r="A23">
        <v>34</v>
      </c>
      <c r="B23">
        <v>7.0415520000000003</v>
      </c>
      <c r="C23" t="s">
        <v>14</v>
      </c>
      <c r="D23" t="s">
        <v>8</v>
      </c>
      <c r="E23" t="s">
        <v>18</v>
      </c>
      <c r="F23">
        <v>71</v>
      </c>
      <c r="G23">
        <v>2.9489999999999998E-3</v>
      </c>
      <c r="H23" t="s">
        <v>26</v>
      </c>
      <c r="K23">
        <f t="shared" si="0"/>
        <v>2.9999999999999996E-3</v>
      </c>
    </row>
    <row r="24" spans="1:11" x14ac:dyDescent="0.3">
      <c r="A24">
        <v>35</v>
      </c>
      <c r="B24">
        <v>7.0919460000000001</v>
      </c>
      <c r="C24" t="s">
        <v>8</v>
      </c>
      <c r="D24" t="s">
        <v>14</v>
      </c>
      <c r="E24" t="s">
        <v>10</v>
      </c>
      <c r="F24">
        <v>54</v>
      </c>
      <c r="G24">
        <v>5.0394000000000001E-2</v>
      </c>
      <c r="H24" t="s">
        <v>27</v>
      </c>
      <c r="K24">
        <f t="shared" si="0"/>
        <v>5.04E-2</v>
      </c>
    </row>
    <row r="25" spans="1:11" x14ac:dyDescent="0.3">
      <c r="A25">
        <v>36</v>
      </c>
      <c r="B25">
        <v>9.737285</v>
      </c>
      <c r="C25" t="s">
        <v>14</v>
      </c>
      <c r="D25" t="s">
        <v>8</v>
      </c>
      <c r="E25" t="s">
        <v>18</v>
      </c>
      <c r="F25">
        <v>71</v>
      </c>
      <c r="G25">
        <v>2.6453389999999999</v>
      </c>
      <c r="H25" t="s">
        <v>26</v>
      </c>
      <c r="K25">
        <f t="shared" si="0"/>
        <v>2.6454000000000004</v>
      </c>
    </row>
    <row r="26" spans="1:11" x14ac:dyDescent="0.3">
      <c r="A26">
        <v>37</v>
      </c>
      <c r="B26">
        <v>9.7850490000000008</v>
      </c>
      <c r="C26" t="s">
        <v>8</v>
      </c>
      <c r="D26" t="s">
        <v>14</v>
      </c>
      <c r="E26" t="s">
        <v>10</v>
      </c>
      <c r="F26">
        <v>54</v>
      </c>
      <c r="G26">
        <v>4.7764000000000001E-2</v>
      </c>
      <c r="H26" t="s">
        <v>28</v>
      </c>
      <c r="K26">
        <f t="shared" si="0"/>
        <v>4.7800000000000002E-2</v>
      </c>
    </row>
    <row r="27" spans="1:11" x14ac:dyDescent="0.3">
      <c r="A27">
        <v>42</v>
      </c>
      <c r="B27">
        <v>11.073532</v>
      </c>
      <c r="C27" t="s">
        <v>8</v>
      </c>
      <c r="D27" t="s">
        <v>14</v>
      </c>
      <c r="E27" t="s">
        <v>18</v>
      </c>
      <c r="F27">
        <v>71</v>
      </c>
      <c r="G27">
        <v>1.288483</v>
      </c>
      <c r="H27" t="s">
        <v>26</v>
      </c>
      <c r="K27">
        <f t="shared" si="0"/>
        <v>1.2885</v>
      </c>
    </row>
    <row r="28" spans="1:11" x14ac:dyDescent="0.3">
      <c r="A28">
        <v>43</v>
      </c>
      <c r="B28">
        <v>11.074918</v>
      </c>
      <c r="C28" t="s">
        <v>14</v>
      </c>
      <c r="D28" t="s">
        <v>8</v>
      </c>
      <c r="E28" t="s">
        <v>18</v>
      </c>
      <c r="F28">
        <v>71</v>
      </c>
      <c r="G28">
        <v>1.3860000000000001E-3</v>
      </c>
      <c r="H28" t="s">
        <v>26</v>
      </c>
      <c r="K28">
        <f t="shared" si="0"/>
        <v>1.4E-3</v>
      </c>
    </row>
    <row r="29" spans="1:11" x14ac:dyDescent="0.3">
      <c r="A29">
        <v>44</v>
      </c>
      <c r="B29">
        <v>11.12767</v>
      </c>
      <c r="C29" t="s">
        <v>8</v>
      </c>
      <c r="D29" t="s">
        <v>14</v>
      </c>
      <c r="E29" t="s">
        <v>10</v>
      </c>
      <c r="F29">
        <v>54</v>
      </c>
      <c r="G29">
        <v>5.2752E-2</v>
      </c>
      <c r="H29" t="s">
        <v>29</v>
      </c>
      <c r="K29">
        <f t="shared" si="0"/>
        <v>5.28E-2</v>
      </c>
    </row>
    <row r="30" spans="1:11" x14ac:dyDescent="0.3">
      <c r="A30">
        <v>45</v>
      </c>
      <c r="B30">
        <v>12.121677999999999</v>
      </c>
      <c r="C30" t="s">
        <v>14</v>
      </c>
      <c r="D30" t="s">
        <v>8</v>
      </c>
      <c r="E30" t="s">
        <v>18</v>
      </c>
      <c r="F30">
        <v>71</v>
      </c>
      <c r="G30">
        <v>0.994008</v>
      </c>
      <c r="H30" t="s">
        <v>26</v>
      </c>
      <c r="K30">
        <f t="shared" si="0"/>
        <v>0.99409999999999998</v>
      </c>
    </row>
    <row r="31" spans="1:11" x14ac:dyDescent="0.3">
      <c r="A31">
        <v>46</v>
      </c>
      <c r="B31">
        <v>12.173946000000001</v>
      </c>
      <c r="C31" t="s">
        <v>8</v>
      </c>
      <c r="D31" t="s">
        <v>14</v>
      </c>
      <c r="E31" t="s">
        <v>10</v>
      </c>
      <c r="F31">
        <v>54</v>
      </c>
      <c r="G31">
        <v>5.2268000000000002E-2</v>
      </c>
      <c r="H31" t="s">
        <v>30</v>
      </c>
      <c r="K31">
        <f t="shared" si="0"/>
        <v>5.2300000000000006E-2</v>
      </c>
    </row>
    <row r="32" spans="1:11" x14ac:dyDescent="0.3">
      <c r="A32">
        <v>47</v>
      </c>
      <c r="B32">
        <v>13.040531</v>
      </c>
      <c r="C32" t="s">
        <v>8</v>
      </c>
      <c r="D32" t="s">
        <v>14</v>
      </c>
      <c r="E32" t="s">
        <v>18</v>
      </c>
      <c r="F32">
        <v>71</v>
      </c>
      <c r="G32">
        <v>0.86658500000000005</v>
      </c>
      <c r="H32" t="s">
        <v>26</v>
      </c>
      <c r="K32">
        <f t="shared" si="0"/>
        <v>0.86660000000000004</v>
      </c>
    </row>
    <row r="33" spans="1:11" x14ac:dyDescent="0.3">
      <c r="A33">
        <v>48</v>
      </c>
      <c r="B33">
        <v>13.042489</v>
      </c>
      <c r="C33" t="s">
        <v>14</v>
      </c>
      <c r="D33" t="s">
        <v>8</v>
      </c>
      <c r="E33" t="s">
        <v>18</v>
      </c>
      <c r="F33">
        <v>71</v>
      </c>
      <c r="G33">
        <v>1.9580000000000001E-3</v>
      </c>
      <c r="H33" t="s">
        <v>26</v>
      </c>
      <c r="K33">
        <f t="shared" si="0"/>
        <v>2E-3</v>
      </c>
    </row>
    <row r="34" spans="1:11" x14ac:dyDescent="0.3">
      <c r="A34">
        <v>49</v>
      </c>
      <c r="B34">
        <v>13.097614999999999</v>
      </c>
      <c r="C34" t="s">
        <v>8</v>
      </c>
      <c r="D34" t="s">
        <v>14</v>
      </c>
      <c r="E34" t="s">
        <v>10</v>
      </c>
      <c r="F34">
        <v>54</v>
      </c>
      <c r="G34">
        <v>5.5126000000000001E-2</v>
      </c>
      <c r="H34" t="s">
        <v>31</v>
      </c>
      <c r="K34">
        <f t="shared" si="0"/>
        <v>5.5200000000000006E-2</v>
      </c>
    </row>
    <row r="35" spans="1:11" x14ac:dyDescent="0.3">
      <c r="A35">
        <v>50</v>
      </c>
      <c r="B35">
        <v>13.50605</v>
      </c>
      <c r="C35" t="s">
        <v>8</v>
      </c>
      <c r="D35" t="s">
        <v>9</v>
      </c>
      <c r="E35" t="s">
        <v>10</v>
      </c>
      <c r="F35">
        <v>66</v>
      </c>
      <c r="G35">
        <v>0.40843499999999999</v>
      </c>
      <c r="H35" t="s">
        <v>32</v>
      </c>
      <c r="K35">
        <f t="shared" si="0"/>
        <v>0.40849999999999997</v>
      </c>
    </row>
    <row r="36" spans="1:11" x14ac:dyDescent="0.3">
      <c r="A36">
        <v>51</v>
      </c>
      <c r="B36">
        <v>13.811534</v>
      </c>
      <c r="C36" t="s">
        <v>9</v>
      </c>
      <c r="D36" t="s">
        <v>8</v>
      </c>
      <c r="E36" t="s">
        <v>10</v>
      </c>
      <c r="F36">
        <v>60</v>
      </c>
      <c r="G36">
        <v>0.30548399999999998</v>
      </c>
      <c r="H36" t="s">
        <v>33</v>
      </c>
      <c r="K36">
        <f t="shared" si="0"/>
        <v>0.30549999999999999</v>
      </c>
    </row>
    <row r="37" spans="1:11" x14ac:dyDescent="0.3">
      <c r="A37">
        <v>52</v>
      </c>
      <c r="B37">
        <v>14.032603</v>
      </c>
      <c r="C37" t="s">
        <v>14</v>
      </c>
      <c r="D37" t="s">
        <v>8</v>
      </c>
      <c r="E37" t="s">
        <v>18</v>
      </c>
      <c r="F37">
        <v>71</v>
      </c>
      <c r="G37">
        <v>0.22106899999999999</v>
      </c>
      <c r="H37" t="s">
        <v>26</v>
      </c>
      <c r="K37">
        <f t="shared" si="0"/>
        <v>0.22109999999999999</v>
      </c>
    </row>
    <row r="38" spans="1:11" x14ac:dyDescent="0.3">
      <c r="A38">
        <v>53</v>
      </c>
      <c r="B38">
        <v>14.081030999999999</v>
      </c>
      <c r="C38" t="s">
        <v>8</v>
      </c>
      <c r="D38" t="s">
        <v>14</v>
      </c>
      <c r="E38" t="s">
        <v>10</v>
      </c>
      <c r="F38">
        <v>54</v>
      </c>
      <c r="G38">
        <v>4.8427999999999999E-2</v>
      </c>
      <c r="H38" t="s">
        <v>34</v>
      </c>
      <c r="K38">
        <f t="shared" si="0"/>
        <v>4.8500000000000001E-2</v>
      </c>
    </row>
    <row r="39" spans="1:11" x14ac:dyDescent="0.3">
      <c r="A39">
        <v>54</v>
      </c>
      <c r="B39">
        <v>14.317672</v>
      </c>
      <c r="C39" t="s">
        <v>8</v>
      </c>
      <c r="D39" t="s">
        <v>9</v>
      </c>
      <c r="E39" t="s">
        <v>10</v>
      </c>
      <c r="F39">
        <v>66</v>
      </c>
      <c r="G39">
        <v>0.23664099999999999</v>
      </c>
      <c r="H39" t="s">
        <v>35</v>
      </c>
      <c r="K39">
        <f t="shared" si="0"/>
        <v>0.23669999999999999</v>
      </c>
    </row>
    <row r="40" spans="1:11" x14ac:dyDescent="0.3">
      <c r="A40">
        <v>55</v>
      </c>
      <c r="B40">
        <v>14.419269999999999</v>
      </c>
      <c r="C40" t="s">
        <v>9</v>
      </c>
      <c r="D40" t="s">
        <v>8</v>
      </c>
      <c r="E40" t="s">
        <v>10</v>
      </c>
      <c r="F40">
        <v>60</v>
      </c>
      <c r="G40">
        <v>0.10159799999999999</v>
      </c>
      <c r="H40" t="s">
        <v>33</v>
      </c>
      <c r="K40">
        <f t="shared" si="0"/>
        <v>0.10160000000000001</v>
      </c>
    </row>
    <row r="41" spans="1:11" x14ac:dyDescent="0.3">
      <c r="A41">
        <v>56</v>
      </c>
      <c r="B41">
        <v>14.925936</v>
      </c>
      <c r="C41" t="s">
        <v>8</v>
      </c>
      <c r="D41" t="s">
        <v>9</v>
      </c>
      <c r="E41" t="s">
        <v>10</v>
      </c>
      <c r="F41">
        <v>66</v>
      </c>
      <c r="G41">
        <v>0.50666599999999995</v>
      </c>
      <c r="H41" t="s">
        <v>35</v>
      </c>
      <c r="K41">
        <f t="shared" si="0"/>
        <v>0.50670000000000004</v>
      </c>
    </row>
    <row r="42" spans="1:11" x14ac:dyDescent="0.3">
      <c r="A42">
        <v>57</v>
      </c>
      <c r="B42">
        <v>15.258328000000001</v>
      </c>
      <c r="C42" t="s">
        <v>8</v>
      </c>
      <c r="D42" t="s">
        <v>14</v>
      </c>
      <c r="E42" t="s">
        <v>18</v>
      </c>
      <c r="F42">
        <v>71</v>
      </c>
      <c r="G42">
        <v>0.33239200000000002</v>
      </c>
      <c r="H42" t="s">
        <v>26</v>
      </c>
      <c r="K42">
        <f t="shared" si="0"/>
        <v>0.33239999999999997</v>
      </c>
    </row>
    <row r="43" spans="1:11" x14ac:dyDescent="0.3">
      <c r="A43">
        <v>58</v>
      </c>
      <c r="B43">
        <v>15.260455</v>
      </c>
      <c r="C43" t="s">
        <v>14</v>
      </c>
      <c r="D43" t="s">
        <v>8</v>
      </c>
      <c r="E43" t="s">
        <v>18</v>
      </c>
      <c r="F43">
        <v>71</v>
      </c>
      <c r="G43">
        <v>2.127E-3</v>
      </c>
      <c r="H43" t="s">
        <v>26</v>
      </c>
      <c r="K43">
        <f t="shared" si="0"/>
        <v>2.1999999999999997E-3</v>
      </c>
    </row>
    <row r="44" spans="1:11" x14ac:dyDescent="0.3">
      <c r="A44">
        <v>59</v>
      </c>
      <c r="B44">
        <v>15.313485</v>
      </c>
      <c r="C44" t="s">
        <v>8</v>
      </c>
      <c r="D44" t="s">
        <v>14</v>
      </c>
      <c r="E44" t="s">
        <v>10</v>
      </c>
      <c r="F44">
        <v>54</v>
      </c>
      <c r="G44">
        <v>5.3030000000000001E-2</v>
      </c>
      <c r="H44" t="s">
        <v>36</v>
      </c>
      <c r="K44">
        <f t="shared" si="0"/>
        <v>5.3100000000000001E-2</v>
      </c>
    </row>
    <row r="45" spans="1:11" x14ac:dyDescent="0.3">
      <c r="A45">
        <v>60</v>
      </c>
      <c r="B45">
        <v>15.964397999999999</v>
      </c>
      <c r="C45" t="s">
        <v>9</v>
      </c>
      <c r="D45" t="s">
        <v>8</v>
      </c>
      <c r="E45" t="s">
        <v>10</v>
      </c>
      <c r="F45">
        <v>60</v>
      </c>
      <c r="G45">
        <v>0.65091299999999996</v>
      </c>
      <c r="H45" t="s">
        <v>33</v>
      </c>
      <c r="K45">
        <f t="shared" si="0"/>
        <v>0.65100000000000002</v>
      </c>
    </row>
    <row r="46" spans="1:11" x14ac:dyDescent="0.3">
      <c r="A46">
        <v>61</v>
      </c>
      <c r="B46">
        <v>16.475653999999999</v>
      </c>
      <c r="C46" t="s">
        <v>8</v>
      </c>
      <c r="D46" t="s">
        <v>9</v>
      </c>
      <c r="E46" t="s">
        <v>10</v>
      </c>
      <c r="F46">
        <v>66</v>
      </c>
      <c r="G46">
        <v>0.51125600000000004</v>
      </c>
      <c r="H46" t="s">
        <v>35</v>
      </c>
      <c r="K46">
        <f t="shared" si="0"/>
        <v>0.51129999999999998</v>
      </c>
    </row>
    <row r="47" spans="1:11" x14ac:dyDescent="0.3">
      <c r="A47">
        <v>62</v>
      </c>
      <c r="B47">
        <v>16.488018</v>
      </c>
      <c r="C47" t="s">
        <v>14</v>
      </c>
      <c r="D47" t="s">
        <v>8</v>
      </c>
      <c r="E47" t="s">
        <v>18</v>
      </c>
      <c r="F47">
        <v>71</v>
      </c>
      <c r="G47">
        <v>1.2364E-2</v>
      </c>
      <c r="H47" t="s">
        <v>26</v>
      </c>
      <c r="K47">
        <f t="shared" si="0"/>
        <v>1.24E-2</v>
      </c>
    </row>
    <row r="48" spans="1:11" x14ac:dyDescent="0.3">
      <c r="A48">
        <v>63</v>
      </c>
      <c r="B48">
        <v>16.537631999999999</v>
      </c>
      <c r="C48" t="s">
        <v>8</v>
      </c>
      <c r="D48" t="s">
        <v>14</v>
      </c>
      <c r="E48" t="s">
        <v>10</v>
      </c>
      <c r="F48">
        <v>54</v>
      </c>
      <c r="G48">
        <v>4.9613999999999998E-2</v>
      </c>
      <c r="H48" t="s">
        <v>37</v>
      </c>
      <c r="K48">
        <f t="shared" si="0"/>
        <v>4.9700000000000001E-2</v>
      </c>
    </row>
    <row r="49" spans="1:11" x14ac:dyDescent="0.3">
      <c r="A49">
        <v>64</v>
      </c>
      <c r="B49">
        <v>16.792269000000001</v>
      </c>
      <c r="C49" t="s">
        <v>9</v>
      </c>
      <c r="D49" t="s">
        <v>8</v>
      </c>
      <c r="E49" t="s">
        <v>10</v>
      </c>
      <c r="F49">
        <v>60</v>
      </c>
      <c r="G49">
        <v>0.254637</v>
      </c>
      <c r="H49" t="s">
        <v>33</v>
      </c>
      <c r="K49">
        <f t="shared" si="0"/>
        <v>0.25469999999999998</v>
      </c>
    </row>
    <row r="50" spans="1:11" x14ac:dyDescent="0.3">
      <c r="A50">
        <v>65</v>
      </c>
      <c r="B50">
        <v>17.302164000000001</v>
      </c>
      <c r="C50" t="s">
        <v>8</v>
      </c>
      <c r="D50" t="s">
        <v>9</v>
      </c>
      <c r="E50" t="s">
        <v>10</v>
      </c>
      <c r="F50">
        <v>66</v>
      </c>
      <c r="G50">
        <v>0.50989499999999999</v>
      </c>
      <c r="H50" t="s">
        <v>35</v>
      </c>
      <c r="K50">
        <f t="shared" si="0"/>
        <v>0.50990000000000002</v>
      </c>
    </row>
    <row r="51" spans="1:11" x14ac:dyDescent="0.3">
      <c r="A51">
        <v>66</v>
      </c>
      <c r="B51">
        <v>17.709544999999999</v>
      </c>
      <c r="C51" t="s">
        <v>9</v>
      </c>
      <c r="D51" t="s">
        <v>8</v>
      </c>
      <c r="E51" t="s">
        <v>10</v>
      </c>
      <c r="F51">
        <v>60</v>
      </c>
      <c r="G51">
        <v>0.40738099999999999</v>
      </c>
      <c r="H51" t="s">
        <v>33</v>
      </c>
      <c r="K51">
        <f t="shared" si="0"/>
        <v>0.40739999999999998</v>
      </c>
    </row>
    <row r="52" spans="1:11" x14ac:dyDescent="0.3">
      <c r="A52">
        <v>67</v>
      </c>
      <c r="B52">
        <v>17.716899999999999</v>
      </c>
      <c r="C52" t="s">
        <v>8</v>
      </c>
      <c r="D52" t="s">
        <v>14</v>
      </c>
      <c r="E52" t="s">
        <v>18</v>
      </c>
      <c r="F52">
        <v>71</v>
      </c>
      <c r="G52">
        <v>7.3550000000000004E-3</v>
      </c>
      <c r="H52" t="s">
        <v>26</v>
      </c>
      <c r="K52">
        <f t="shared" si="0"/>
        <v>7.4000000000000003E-3</v>
      </c>
    </row>
    <row r="53" spans="1:11" x14ac:dyDescent="0.3">
      <c r="A53">
        <v>68</v>
      </c>
      <c r="B53">
        <v>17.723299999999998</v>
      </c>
      <c r="C53" t="s">
        <v>14</v>
      </c>
      <c r="D53" t="s">
        <v>8</v>
      </c>
      <c r="E53" t="s">
        <v>18</v>
      </c>
      <c r="F53">
        <v>71</v>
      </c>
      <c r="G53">
        <v>6.4000000000000003E-3</v>
      </c>
      <c r="H53" t="s">
        <v>26</v>
      </c>
      <c r="K53">
        <f t="shared" si="0"/>
        <v>6.4000000000000003E-3</v>
      </c>
    </row>
    <row r="54" spans="1:11" x14ac:dyDescent="0.3">
      <c r="A54">
        <v>69</v>
      </c>
      <c r="B54">
        <v>17.770444999999999</v>
      </c>
      <c r="C54" t="s">
        <v>8</v>
      </c>
      <c r="D54" t="s">
        <v>14</v>
      </c>
      <c r="E54" t="s">
        <v>10</v>
      </c>
      <c r="F54">
        <v>54</v>
      </c>
      <c r="G54">
        <v>4.7144999999999999E-2</v>
      </c>
      <c r="H54" t="s">
        <v>38</v>
      </c>
      <c r="K54">
        <f t="shared" si="0"/>
        <v>4.7200000000000006E-2</v>
      </c>
    </row>
    <row r="55" spans="1:11" x14ac:dyDescent="0.3">
      <c r="A55">
        <v>74</v>
      </c>
      <c r="B55">
        <v>18.761854</v>
      </c>
      <c r="C55" t="s">
        <v>14</v>
      </c>
      <c r="D55" t="s">
        <v>8</v>
      </c>
      <c r="E55" t="s">
        <v>18</v>
      </c>
      <c r="F55">
        <v>71</v>
      </c>
      <c r="G55">
        <v>0.99140899999999998</v>
      </c>
      <c r="H55" t="s">
        <v>26</v>
      </c>
      <c r="K55">
        <f t="shared" si="0"/>
        <v>0.99149999999999994</v>
      </c>
    </row>
    <row r="56" spans="1:11" x14ac:dyDescent="0.3">
      <c r="A56">
        <v>75</v>
      </c>
      <c r="B56">
        <v>18.815899999999999</v>
      </c>
      <c r="C56" t="s">
        <v>8</v>
      </c>
      <c r="D56" t="s">
        <v>14</v>
      </c>
      <c r="E56" t="s">
        <v>10</v>
      </c>
      <c r="F56">
        <v>54</v>
      </c>
      <c r="G56">
        <v>5.4045999999999997E-2</v>
      </c>
      <c r="H56" t="s">
        <v>39</v>
      </c>
      <c r="K56">
        <f t="shared" si="0"/>
        <v>5.4100000000000002E-2</v>
      </c>
    </row>
    <row r="57" spans="1:11" x14ac:dyDescent="0.3">
      <c r="A57">
        <v>78</v>
      </c>
      <c r="B57">
        <v>19.863211</v>
      </c>
      <c r="C57" t="s">
        <v>8</v>
      </c>
      <c r="D57" t="s">
        <v>14</v>
      </c>
      <c r="E57" t="s">
        <v>18</v>
      </c>
      <c r="F57">
        <v>71</v>
      </c>
      <c r="G57">
        <v>1.0473110000000001</v>
      </c>
      <c r="H57" t="s">
        <v>26</v>
      </c>
      <c r="K57">
        <f t="shared" si="0"/>
        <v>1.0473999999999999</v>
      </c>
    </row>
    <row r="58" spans="1:11" x14ac:dyDescent="0.3">
      <c r="A58">
        <v>79</v>
      </c>
      <c r="B58">
        <v>19.865518000000002</v>
      </c>
      <c r="C58" t="s">
        <v>14</v>
      </c>
      <c r="D58" t="s">
        <v>8</v>
      </c>
      <c r="E58" t="s">
        <v>18</v>
      </c>
      <c r="F58">
        <v>71</v>
      </c>
      <c r="G58">
        <v>2.307E-3</v>
      </c>
      <c r="H58" t="s">
        <v>26</v>
      </c>
      <c r="K58">
        <f t="shared" si="0"/>
        <v>2.3999999999999998E-3</v>
      </c>
    </row>
    <row r="59" spans="1:11" x14ac:dyDescent="0.3">
      <c r="A59">
        <v>80</v>
      </c>
      <c r="B59">
        <v>19.907817999999999</v>
      </c>
      <c r="C59" t="s">
        <v>8</v>
      </c>
      <c r="D59" t="s">
        <v>14</v>
      </c>
      <c r="E59" t="s">
        <v>10</v>
      </c>
      <c r="F59">
        <v>54</v>
      </c>
      <c r="G59">
        <v>4.2299999999999997E-2</v>
      </c>
      <c r="H59" t="s">
        <v>40</v>
      </c>
      <c r="K59">
        <f t="shared" si="0"/>
        <v>4.2299999999999997E-2</v>
      </c>
    </row>
    <row r="60" spans="1:11" x14ac:dyDescent="0.3">
      <c r="A60">
        <v>81</v>
      </c>
      <c r="B60">
        <v>20.954722</v>
      </c>
      <c r="C60" t="s">
        <v>14</v>
      </c>
      <c r="D60" t="s">
        <v>8</v>
      </c>
      <c r="E60" t="s">
        <v>18</v>
      </c>
      <c r="F60">
        <v>71</v>
      </c>
      <c r="G60">
        <v>1.0469040000000001</v>
      </c>
      <c r="H60" t="s">
        <v>26</v>
      </c>
      <c r="K60">
        <f t="shared" si="0"/>
        <v>1.0469999999999999</v>
      </c>
    </row>
    <row r="61" spans="1:11" x14ac:dyDescent="0.3">
      <c r="A61">
        <v>82</v>
      </c>
      <c r="B61">
        <v>21.002976</v>
      </c>
      <c r="C61" t="s">
        <v>8</v>
      </c>
      <c r="D61" t="s">
        <v>14</v>
      </c>
      <c r="E61" t="s">
        <v>10</v>
      </c>
      <c r="F61">
        <v>54</v>
      </c>
      <c r="G61">
        <v>4.8253999999999998E-2</v>
      </c>
      <c r="H61" t="s">
        <v>41</v>
      </c>
      <c r="K61">
        <f t="shared" si="0"/>
        <v>4.8300000000000003E-2</v>
      </c>
    </row>
    <row r="62" spans="1:11" x14ac:dyDescent="0.3">
      <c r="A62">
        <v>83</v>
      </c>
      <c r="B62">
        <v>22.331800999999999</v>
      </c>
      <c r="C62" t="s">
        <v>8</v>
      </c>
      <c r="D62" t="s">
        <v>14</v>
      </c>
      <c r="E62" t="s">
        <v>18</v>
      </c>
      <c r="F62">
        <v>71</v>
      </c>
      <c r="G62">
        <v>1.3288249999999999</v>
      </c>
      <c r="H62" t="s">
        <v>26</v>
      </c>
      <c r="K62">
        <f t="shared" si="0"/>
        <v>1.3289</v>
      </c>
    </row>
    <row r="63" spans="1:11" x14ac:dyDescent="0.3">
      <c r="A63">
        <v>84</v>
      </c>
      <c r="B63">
        <v>22.333902999999999</v>
      </c>
      <c r="C63" t="s">
        <v>14</v>
      </c>
      <c r="D63" t="s">
        <v>8</v>
      </c>
      <c r="E63" t="s">
        <v>18</v>
      </c>
      <c r="F63">
        <v>71</v>
      </c>
      <c r="G63">
        <v>2.1020000000000001E-3</v>
      </c>
      <c r="H63" t="s">
        <v>26</v>
      </c>
      <c r="K63">
        <f t="shared" si="0"/>
        <v>2.1999999999999997E-3</v>
      </c>
    </row>
    <row r="64" spans="1:11" x14ac:dyDescent="0.3">
      <c r="A64">
        <v>85</v>
      </c>
      <c r="B64">
        <v>22.375350999999998</v>
      </c>
      <c r="C64" t="s">
        <v>8</v>
      </c>
      <c r="D64" t="s">
        <v>14</v>
      </c>
      <c r="E64" t="s">
        <v>10</v>
      </c>
      <c r="F64">
        <v>54</v>
      </c>
      <c r="G64">
        <v>4.1447999999999999E-2</v>
      </c>
      <c r="H64" t="s">
        <v>42</v>
      </c>
      <c r="K64">
        <f t="shared" si="0"/>
        <v>4.1500000000000002E-2</v>
      </c>
    </row>
    <row r="65" spans="1:11" x14ac:dyDescent="0.3">
      <c r="A65">
        <v>86</v>
      </c>
      <c r="B65">
        <v>23.265910999999999</v>
      </c>
      <c r="C65" t="s">
        <v>14</v>
      </c>
      <c r="D65" t="s">
        <v>8</v>
      </c>
      <c r="E65" t="s">
        <v>18</v>
      </c>
      <c r="F65">
        <v>71</v>
      </c>
      <c r="G65">
        <v>0.89056000000000002</v>
      </c>
      <c r="H65" t="s">
        <v>26</v>
      </c>
      <c r="K65">
        <f t="shared" si="0"/>
        <v>0.89059999999999995</v>
      </c>
    </row>
    <row r="66" spans="1:11" x14ac:dyDescent="0.3">
      <c r="A66">
        <v>87</v>
      </c>
      <c r="B66">
        <v>23.312003000000001</v>
      </c>
      <c r="C66" t="s">
        <v>8</v>
      </c>
      <c r="D66" t="s">
        <v>14</v>
      </c>
      <c r="E66" t="s">
        <v>10</v>
      </c>
      <c r="F66">
        <v>54</v>
      </c>
      <c r="G66">
        <v>4.6092000000000001E-2</v>
      </c>
      <c r="H66" t="s">
        <v>43</v>
      </c>
      <c r="K66">
        <f t="shared" si="0"/>
        <v>4.6100000000000002E-2</v>
      </c>
    </row>
    <row r="67" spans="1:11" x14ac:dyDescent="0.3">
      <c r="A67">
        <v>88</v>
      </c>
      <c r="B67">
        <v>24.258593999999999</v>
      </c>
      <c r="C67" t="s">
        <v>8</v>
      </c>
      <c r="D67" t="s">
        <v>14</v>
      </c>
      <c r="E67" t="s">
        <v>18</v>
      </c>
      <c r="F67">
        <v>71</v>
      </c>
      <c r="G67">
        <v>0.94659099999999996</v>
      </c>
      <c r="H67" t="s">
        <v>26</v>
      </c>
      <c r="K67">
        <f t="shared" si="0"/>
        <v>0.9466</v>
      </c>
    </row>
    <row r="68" spans="1:11" x14ac:dyDescent="0.3">
      <c r="A68">
        <v>89</v>
      </c>
      <c r="B68">
        <v>24.261111</v>
      </c>
      <c r="C68" t="s">
        <v>14</v>
      </c>
      <c r="D68" t="s">
        <v>8</v>
      </c>
      <c r="E68" t="s">
        <v>18</v>
      </c>
      <c r="F68">
        <v>71</v>
      </c>
      <c r="G68">
        <v>2.5170000000000001E-3</v>
      </c>
      <c r="H68" t="s">
        <v>26</v>
      </c>
      <c r="K68">
        <f t="shared" ref="K68:K131" si="1">ROUNDUP(G68,4)</f>
        <v>2.5999999999999999E-3</v>
      </c>
    </row>
    <row r="69" spans="1:11" x14ac:dyDescent="0.3">
      <c r="A69">
        <v>90</v>
      </c>
      <c r="B69">
        <v>24.316873999999999</v>
      </c>
      <c r="C69" t="s">
        <v>8</v>
      </c>
      <c r="D69" t="s">
        <v>14</v>
      </c>
      <c r="E69" t="s">
        <v>10</v>
      </c>
      <c r="F69">
        <v>54</v>
      </c>
      <c r="G69">
        <v>5.5763E-2</v>
      </c>
      <c r="H69" t="s">
        <v>44</v>
      </c>
      <c r="K69">
        <f t="shared" si="1"/>
        <v>5.5800000000000002E-2</v>
      </c>
    </row>
    <row r="70" spans="1:11" x14ac:dyDescent="0.3">
      <c r="A70">
        <v>91</v>
      </c>
      <c r="B70">
        <v>25.710898</v>
      </c>
      <c r="C70" t="s">
        <v>14</v>
      </c>
      <c r="D70" t="s">
        <v>8</v>
      </c>
      <c r="E70" t="s">
        <v>18</v>
      </c>
      <c r="F70">
        <v>71</v>
      </c>
      <c r="G70">
        <v>1.3940239999999999</v>
      </c>
      <c r="H70" t="s">
        <v>26</v>
      </c>
      <c r="K70">
        <f t="shared" si="1"/>
        <v>1.3940999999999999</v>
      </c>
    </row>
    <row r="71" spans="1:11" x14ac:dyDescent="0.3">
      <c r="A71">
        <v>92</v>
      </c>
      <c r="B71">
        <v>25.758647</v>
      </c>
      <c r="C71" t="s">
        <v>8</v>
      </c>
      <c r="D71" t="s">
        <v>14</v>
      </c>
      <c r="E71" t="s">
        <v>10</v>
      </c>
      <c r="F71">
        <v>54</v>
      </c>
      <c r="G71">
        <v>4.7749E-2</v>
      </c>
      <c r="H71" t="s">
        <v>45</v>
      </c>
      <c r="K71">
        <f t="shared" si="1"/>
        <v>4.7800000000000002E-2</v>
      </c>
    </row>
    <row r="72" spans="1:11" x14ac:dyDescent="0.3">
      <c r="A72">
        <v>93</v>
      </c>
      <c r="B72">
        <v>26.898330000000001</v>
      </c>
      <c r="C72" t="s">
        <v>8</v>
      </c>
      <c r="D72" t="s">
        <v>14</v>
      </c>
      <c r="E72" t="s">
        <v>18</v>
      </c>
      <c r="F72">
        <v>71</v>
      </c>
      <c r="G72">
        <v>1.139683</v>
      </c>
      <c r="H72" t="s">
        <v>26</v>
      </c>
      <c r="K72">
        <f t="shared" si="1"/>
        <v>1.1396999999999999</v>
      </c>
    </row>
    <row r="73" spans="1:11" x14ac:dyDescent="0.3">
      <c r="A73">
        <v>94</v>
      </c>
      <c r="B73">
        <v>26.900632000000002</v>
      </c>
      <c r="C73" t="s">
        <v>14</v>
      </c>
      <c r="D73" t="s">
        <v>8</v>
      </c>
      <c r="E73" t="s">
        <v>18</v>
      </c>
      <c r="F73">
        <v>71</v>
      </c>
      <c r="G73">
        <v>2.3019999999999998E-3</v>
      </c>
      <c r="H73" t="s">
        <v>26</v>
      </c>
      <c r="K73">
        <f t="shared" si="1"/>
        <v>2.3999999999999998E-3</v>
      </c>
    </row>
    <row r="74" spans="1:11" x14ac:dyDescent="0.3">
      <c r="A74">
        <v>95</v>
      </c>
      <c r="B74">
        <v>26.948038</v>
      </c>
      <c r="C74" t="s">
        <v>8</v>
      </c>
      <c r="D74" t="s">
        <v>14</v>
      </c>
      <c r="E74" t="s">
        <v>10</v>
      </c>
      <c r="F74">
        <v>54</v>
      </c>
      <c r="G74">
        <v>4.7405999999999997E-2</v>
      </c>
      <c r="H74" t="s">
        <v>46</v>
      </c>
      <c r="K74">
        <f t="shared" si="1"/>
        <v>4.7500000000000001E-2</v>
      </c>
    </row>
    <row r="75" spans="1:11" x14ac:dyDescent="0.3">
      <c r="A75">
        <v>96</v>
      </c>
      <c r="B75">
        <v>27.753869000000002</v>
      </c>
      <c r="C75" t="s">
        <v>8</v>
      </c>
      <c r="D75" t="s">
        <v>9</v>
      </c>
      <c r="E75" t="s">
        <v>10</v>
      </c>
      <c r="F75">
        <v>66</v>
      </c>
      <c r="G75">
        <v>0.80583099999999996</v>
      </c>
      <c r="H75" t="s">
        <v>47</v>
      </c>
      <c r="K75">
        <f t="shared" si="1"/>
        <v>0.80589999999999995</v>
      </c>
    </row>
    <row r="76" spans="1:11" x14ac:dyDescent="0.3">
      <c r="A76">
        <v>97</v>
      </c>
      <c r="B76">
        <v>28.032903999999998</v>
      </c>
      <c r="C76" t="s">
        <v>9</v>
      </c>
      <c r="D76" t="s">
        <v>8</v>
      </c>
      <c r="E76" t="s">
        <v>10</v>
      </c>
      <c r="F76">
        <v>60</v>
      </c>
      <c r="G76">
        <v>0.27903499999999998</v>
      </c>
      <c r="H76" t="s">
        <v>48</v>
      </c>
      <c r="K76">
        <f t="shared" si="1"/>
        <v>0.27910000000000001</v>
      </c>
    </row>
    <row r="77" spans="1:11" x14ac:dyDescent="0.3">
      <c r="A77">
        <v>98</v>
      </c>
      <c r="B77">
        <v>28.090973000000002</v>
      </c>
      <c r="C77" t="s">
        <v>14</v>
      </c>
      <c r="D77" t="s">
        <v>8</v>
      </c>
      <c r="E77" t="s">
        <v>18</v>
      </c>
      <c r="F77">
        <v>71</v>
      </c>
      <c r="G77">
        <v>5.8069000000000003E-2</v>
      </c>
      <c r="H77" t="s">
        <v>26</v>
      </c>
      <c r="K77">
        <f t="shared" si="1"/>
        <v>5.8100000000000006E-2</v>
      </c>
    </row>
    <row r="78" spans="1:11" x14ac:dyDescent="0.3">
      <c r="A78">
        <v>99</v>
      </c>
      <c r="B78">
        <v>28.131</v>
      </c>
      <c r="C78" t="s">
        <v>8</v>
      </c>
      <c r="D78" t="s">
        <v>14</v>
      </c>
      <c r="E78" t="s">
        <v>10</v>
      </c>
      <c r="F78">
        <v>54</v>
      </c>
      <c r="G78">
        <v>4.0027E-2</v>
      </c>
      <c r="H78" t="s">
        <v>49</v>
      </c>
      <c r="K78">
        <f t="shared" si="1"/>
        <v>4.0100000000000004E-2</v>
      </c>
    </row>
    <row r="79" spans="1:11" x14ac:dyDescent="0.3">
      <c r="A79">
        <v>100</v>
      </c>
      <c r="B79">
        <v>28.538069</v>
      </c>
      <c r="C79" t="s">
        <v>8</v>
      </c>
      <c r="D79" t="s">
        <v>9</v>
      </c>
      <c r="E79" t="s">
        <v>10</v>
      </c>
      <c r="F79">
        <v>66</v>
      </c>
      <c r="G79">
        <v>0.40706900000000001</v>
      </c>
      <c r="H79" t="s">
        <v>50</v>
      </c>
      <c r="K79">
        <f t="shared" si="1"/>
        <v>0.40709999999999996</v>
      </c>
    </row>
    <row r="80" spans="1:11" x14ac:dyDescent="0.3">
      <c r="A80">
        <v>101</v>
      </c>
      <c r="B80">
        <v>28.850823999999999</v>
      </c>
      <c r="C80" t="s">
        <v>9</v>
      </c>
      <c r="D80" t="s">
        <v>8</v>
      </c>
      <c r="E80" t="s">
        <v>10</v>
      </c>
      <c r="F80">
        <v>60</v>
      </c>
      <c r="G80">
        <v>0.31275500000000001</v>
      </c>
      <c r="H80" t="s">
        <v>48</v>
      </c>
      <c r="K80">
        <f t="shared" si="1"/>
        <v>0.31279999999999997</v>
      </c>
    </row>
    <row r="81" spans="1:11" x14ac:dyDescent="0.3">
      <c r="A81">
        <v>102</v>
      </c>
      <c r="B81">
        <v>29.362145000000002</v>
      </c>
      <c r="C81" t="s">
        <v>8</v>
      </c>
      <c r="D81" t="s">
        <v>9</v>
      </c>
      <c r="E81" t="s">
        <v>10</v>
      </c>
      <c r="F81">
        <v>66</v>
      </c>
      <c r="G81">
        <v>0.51132100000000003</v>
      </c>
      <c r="H81" t="s">
        <v>50</v>
      </c>
      <c r="K81">
        <f t="shared" si="1"/>
        <v>0.51139999999999997</v>
      </c>
    </row>
    <row r="82" spans="1:11" x14ac:dyDescent="0.3">
      <c r="A82">
        <v>103</v>
      </c>
      <c r="B82">
        <v>29.493117000000002</v>
      </c>
      <c r="C82" t="s">
        <v>8</v>
      </c>
      <c r="D82" t="s">
        <v>14</v>
      </c>
      <c r="E82" t="s">
        <v>18</v>
      </c>
      <c r="F82">
        <v>71</v>
      </c>
      <c r="G82">
        <v>0.13097200000000001</v>
      </c>
      <c r="H82" t="s">
        <v>26</v>
      </c>
      <c r="K82">
        <f t="shared" si="1"/>
        <v>0.13099999999999998</v>
      </c>
    </row>
    <row r="83" spans="1:11" x14ac:dyDescent="0.3">
      <c r="A83">
        <v>104</v>
      </c>
      <c r="B83">
        <v>29.494848000000001</v>
      </c>
      <c r="C83" t="s">
        <v>14</v>
      </c>
      <c r="D83" t="s">
        <v>8</v>
      </c>
      <c r="E83" t="s">
        <v>18</v>
      </c>
      <c r="F83">
        <v>71</v>
      </c>
      <c r="G83">
        <v>1.7309999999999999E-3</v>
      </c>
      <c r="H83" t="s">
        <v>26</v>
      </c>
      <c r="K83">
        <f t="shared" si="1"/>
        <v>1.8E-3</v>
      </c>
    </row>
    <row r="84" spans="1:11" x14ac:dyDescent="0.3">
      <c r="A84">
        <v>105</v>
      </c>
      <c r="B84">
        <v>29.535889000000001</v>
      </c>
      <c r="C84" t="s">
        <v>8</v>
      </c>
      <c r="D84" t="s">
        <v>14</v>
      </c>
      <c r="E84" t="s">
        <v>10</v>
      </c>
      <c r="F84">
        <v>54</v>
      </c>
      <c r="G84">
        <v>4.1041000000000001E-2</v>
      </c>
      <c r="H84" t="s">
        <v>51</v>
      </c>
      <c r="K84">
        <f t="shared" si="1"/>
        <v>4.1100000000000005E-2</v>
      </c>
    </row>
    <row r="85" spans="1:11" x14ac:dyDescent="0.3">
      <c r="A85">
        <v>106</v>
      </c>
      <c r="B85">
        <v>29.697337999999998</v>
      </c>
      <c r="C85" t="s">
        <v>9</v>
      </c>
      <c r="D85" t="s">
        <v>8</v>
      </c>
      <c r="E85" t="s">
        <v>10</v>
      </c>
      <c r="F85">
        <v>60</v>
      </c>
      <c r="G85">
        <v>0.16144900000000001</v>
      </c>
      <c r="H85" t="s">
        <v>48</v>
      </c>
      <c r="K85">
        <f t="shared" si="1"/>
        <v>0.16149999999999998</v>
      </c>
    </row>
    <row r="86" spans="1:11" x14ac:dyDescent="0.3">
      <c r="A86">
        <v>107</v>
      </c>
      <c r="B86">
        <v>30.207571999999999</v>
      </c>
      <c r="C86" t="s">
        <v>8</v>
      </c>
      <c r="D86" t="s">
        <v>9</v>
      </c>
      <c r="E86" t="s">
        <v>10</v>
      </c>
      <c r="F86">
        <v>66</v>
      </c>
      <c r="G86">
        <v>0.51023399999999997</v>
      </c>
      <c r="H86" t="s">
        <v>50</v>
      </c>
      <c r="K86">
        <f t="shared" si="1"/>
        <v>0.51029999999999998</v>
      </c>
    </row>
    <row r="87" spans="1:11" x14ac:dyDescent="0.3">
      <c r="A87">
        <v>108</v>
      </c>
      <c r="B87">
        <v>30.299693999999999</v>
      </c>
      <c r="C87" t="s">
        <v>9</v>
      </c>
      <c r="D87" t="s">
        <v>8</v>
      </c>
      <c r="E87" t="s">
        <v>10</v>
      </c>
      <c r="F87">
        <v>60</v>
      </c>
      <c r="G87">
        <v>9.2121999999999996E-2</v>
      </c>
      <c r="H87" t="s">
        <v>48</v>
      </c>
      <c r="K87">
        <f t="shared" si="1"/>
        <v>9.2200000000000004E-2</v>
      </c>
    </row>
    <row r="88" spans="1:11" x14ac:dyDescent="0.3">
      <c r="A88">
        <v>109</v>
      </c>
      <c r="B88">
        <v>30.638076999999999</v>
      </c>
      <c r="C88" t="s">
        <v>14</v>
      </c>
      <c r="D88" t="s">
        <v>8</v>
      </c>
      <c r="E88" t="s">
        <v>18</v>
      </c>
      <c r="F88">
        <v>71</v>
      </c>
      <c r="G88">
        <v>0.33838299999999999</v>
      </c>
      <c r="H88" t="s">
        <v>26</v>
      </c>
      <c r="K88">
        <f t="shared" si="1"/>
        <v>0.33839999999999998</v>
      </c>
    </row>
    <row r="89" spans="1:11" x14ac:dyDescent="0.3">
      <c r="A89">
        <v>110</v>
      </c>
      <c r="B89">
        <v>30.687598000000001</v>
      </c>
      <c r="C89" t="s">
        <v>8</v>
      </c>
      <c r="D89" t="s">
        <v>14</v>
      </c>
      <c r="E89" t="s">
        <v>10</v>
      </c>
      <c r="F89">
        <v>54</v>
      </c>
      <c r="G89">
        <v>4.9521000000000003E-2</v>
      </c>
      <c r="H89" t="s">
        <v>52</v>
      </c>
      <c r="K89">
        <f t="shared" si="1"/>
        <v>4.9600000000000005E-2</v>
      </c>
    </row>
    <row r="90" spans="1:11" x14ac:dyDescent="0.3">
      <c r="A90">
        <v>111</v>
      </c>
      <c r="B90">
        <v>30.810936999999999</v>
      </c>
      <c r="C90" t="s">
        <v>8</v>
      </c>
      <c r="D90" t="s">
        <v>9</v>
      </c>
      <c r="E90" t="s">
        <v>10</v>
      </c>
      <c r="F90">
        <v>66</v>
      </c>
      <c r="G90">
        <v>0.123339</v>
      </c>
      <c r="H90" t="s">
        <v>50</v>
      </c>
      <c r="K90">
        <f t="shared" si="1"/>
        <v>0.12340000000000001</v>
      </c>
    </row>
    <row r="91" spans="1:11" x14ac:dyDescent="0.3">
      <c r="A91">
        <v>112</v>
      </c>
      <c r="B91">
        <v>31.121175000000001</v>
      </c>
      <c r="C91" t="s">
        <v>9</v>
      </c>
      <c r="D91" t="s">
        <v>8</v>
      </c>
      <c r="E91" t="s">
        <v>10</v>
      </c>
      <c r="F91">
        <v>60</v>
      </c>
      <c r="G91">
        <v>0.31023800000000001</v>
      </c>
      <c r="H91" t="s">
        <v>48</v>
      </c>
      <c r="K91">
        <f t="shared" si="1"/>
        <v>0.31029999999999996</v>
      </c>
    </row>
    <row r="92" spans="1:11" x14ac:dyDescent="0.3">
      <c r="A92">
        <v>113</v>
      </c>
      <c r="B92">
        <v>31.755206999999999</v>
      </c>
      <c r="C92" t="s">
        <v>8</v>
      </c>
      <c r="D92" t="s">
        <v>14</v>
      </c>
      <c r="E92" t="s">
        <v>18</v>
      </c>
      <c r="F92">
        <v>71</v>
      </c>
      <c r="G92">
        <v>0.63403200000000004</v>
      </c>
      <c r="H92" t="s">
        <v>26</v>
      </c>
      <c r="K92">
        <f t="shared" si="1"/>
        <v>0.6341</v>
      </c>
    </row>
    <row r="93" spans="1:11" x14ac:dyDescent="0.3">
      <c r="A93">
        <v>114</v>
      </c>
      <c r="B93">
        <v>31.756755999999999</v>
      </c>
      <c r="C93" t="s">
        <v>14</v>
      </c>
      <c r="D93" t="s">
        <v>8</v>
      </c>
      <c r="E93" t="s">
        <v>18</v>
      </c>
      <c r="F93">
        <v>71</v>
      </c>
      <c r="G93">
        <v>1.549E-3</v>
      </c>
      <c r="H93" t="s">
        <v>26</v>
      </c>
      <c r="K93">
        <f t="shared" si="1"/>
        <v>1.6000000000000001E-3</v>
      </c>
    </row>
    <row r="94" spans="1:11" x14ac:dyDescent="0.3">
      <c r="A94">
        <v>115</v>
      </c>
      <c r="B94">
        <v>31.796486999999999</v>
      </c>
      <c r="C94" t="s">
        <v>8</v>
      </c>
      <c r="D94" t="s">
        <v>14</v>
      </c>
      <c r="E94" t="s">
        <v>10</v>
      </c>
      <c r="F94">
        <v>54</v>
      </c>
      <c r="G94">
        <v>3.9731000000000002E-2</v>
      </c>
      <c r="H94" t="s">
        <v>53</v>
      </c>
      <c r="K94">
        <f t="shared" si="1"/>
        <v>3.9800000000000002E-2</v>
      </c>
    </row>
    <row r="95" spans="1:11" x14ac:dyDescent="0.3">
      <c r="A95">
        <v>116</v>
      </c>
      <c r="B95">
        <v>32.993138999999999</v>
      </c>
      <c r="C95" t="s">
        <v>14</v>
      </c>
      <c r="D95" t="s">
        <v>8</v>
      </c>
      <c r="E95" t="s">
        <v>18</v>
      </c>
      <c r="F95">
        <v>71</v>
      </c>
      <c r="G95">
        <v>1.196652</v>
      </c>
      <c r="H95" t="s">
        <v>26</v>
      </c>
      <c r="K95">
        <f t="shared" si="1"/>
        <v>1.1967000000000001</v>
      </c>
    </row>
    <row r="96" spans="1:11" x14ac:dyDescent="0.3">
      <c r="A96">
        <v>117</v>
      </c>
      <c r="B96">
        <v>33.048482999999997</v>
      </c>
      <c r="C96" t="s">
        <v>8</v>
      </c>
      <c r="D96" t="s">
        <v>14</v>
      </c>
      <c r="E96" t="s">
        <v>10</v>
      </c>
      <c r="F96">
        <v>54</v>
      </c>
      <c r="G96">
        <v>5.5343999999999997E-2</v>
      </c>
      <c r="H96" t="s">
        <v>54</v>
      </c>
      <c r="K96">
        <f t="shared" si="1"/>
        <v>5.5400000000000005E-2</v>
      </c>
    </row>
    <row r="97" spans="1:11" x14ac:dyDescent="0.3">
      <c r="A97">
        <v>118</v>
      </c>
      <c r="B97">
        <v>34.023308</v>
      </c>
      <c r="C97" t="s">
        <v>8</v>
      </c>
      <c r="D97" t="s">
        <v>14</v>
      </c>
      <c r="E97" t="s">
        <v>18</v>
      </c>
      <c r="F97">
        <v>71</v>
      </c>
      <c r="G97">
        <v>0.97482500000000005</v>
      </c>
      <c r="H97" t="s">
        <v>26</v>
      </c>
      <c r="K97">
        <f t="shared" si="1"/>
        <v>0.97489999999999999</v>
      </c>
    </row>
    <row r="98" spans="1:11" x14ac:dyDescent="0.3">
      <c r="A98">
        <v>119</v>
      </c>
      <c r="B98">
        <v>34.025419999999997</v>
      </c>
      <c r="C98" t="s">
        <v>14</v>
      </c>
      <c r="D98" t="s">
        <v>8</v>
      </c>
      <c r="E98" t="s">
        <v>18</v>
      </c>
      <c r="F98">
        <v>71</v>
      </c>
      <c r="G98">
        <v>2.1120000000000002E-3</v>
      </c>
      <c r="H98" t="s">
        <v>26</v>
      </c>
      <c r="K98">
        <f t="shared" si="1"/>
        <v>2.1999999999999997E-3</v>
      </c>
    </row>
    <row r="99" spans="1:11" x14ac:dyDescent="0.3">
      <c r="A99">
        <v>120</v>
      </c>
      <c r="B99">
        <v>34.078404999999997</v>
      </c>
      <c r="C99" t="s">
        <v>8</v>
      </c>
      <c r="D99" t="s">
        <v>14</v>
      </c>
      <c r="E99" t="s">
        <v>10</v>
      </c>
      <c r="F99">
        <v>54</v>
      </c>
      <c r="G99">
        <v>5.2984999999999997E-2</v>
      </c>
      <c r="H99" t="s">
        <v>55</v>
      </c>
      <c r="K99">
        <f t="shared" si="1"/>
        <v>5.3000000000000005E-2</v>
      </c>
    </row>
    <row r="100" spans="1:11" x14ac:dyDescent="0.3">
      <c r="A100">
        <v>123</v>
      </c>
      <c r="B100">
        <v>35.04298</v>
      </c>
      <c r="C100" t="s">
        <v>14</v>
      </c>
      <c r="D100" t="s">
        <v>8</v>
      </c>
      <c r="E100" t="s">
        <v>18</v>
      </c>
      <c r="F100">
        <v>71</v>
      </c>
      <c r="G100">
        <v>0.96457499999999996</v>
      </c>
      <c r="H100" t="s">
        <v>26</v>
      </c>
      <c r="K100">
        <f t="shared" si="1"/>
        <v>0.96460000000000001</v>
      </c>
    </row>
    <row r="101" spans="1:11" x14ac:dyDescent="0.3">
      <c r="A101">
        <v>124</v>
      </c>
      <c r="B101">
        <v>35.089196000000001</v>
      </c>
      <c r="C101" t="s">
        <v>8</v>
      </c>
      <c r="D101" t="s">
        <v>14</v>
      </c>
      <c r="E101" t="s">
        <v>10</v>
      </c>
      <c r="F101">
        <v>54</v>
      </c>
      <c r="G101">
        <v>4.6216E-2</v>
      </c>
      <c r="H101" t="s">
        <v>56</v>
      </c>
      <c r="K101">
        <f t="shared" si="1"/>
        <v>4.6300000000000001E-2</v>
      </c>
    </row>
    <row r="102" spans="1:11" x14ac:dyDescent="0.3">
      <c r="A102">
        <v>125</v>
      </c>
      <c r="B102">
        <v>36.112160000000003</v>
      </c>
      <c r="C102" t="s">
        <v>8</v>
      </c>
      <c r="D102" t="s">
        <v>14</v>
      </c>
      <c r="E102" t="s">
        <v>18</v>
      </c>
      <c r="F102">
        <v>71</v>
      </c>
      <c r="G102">
        <v>1.022964</v>
      </c>
      <c r="H102" t="s">
        <v>26</v>
      </c>
      <c r="K102">
        <f t="shared" si="1"/>
        <v>1.0229999999999999</v>
      </c>
    </row>
    <row r="103" spans="1:11" x14ac:dyDescent="0.3">
      <c r="A103">
        <v>126</v>
      </c>
      <c r="B103">
        <v>36.113954</v>
      </c>
      <c r="C103" t="s">
        <v>14</v>
      </c>
      <c r="D103" t="s">
        <v>8</v>
      </c>
      <c r="E103" t="s">
        <v>18</v>
      </c>
      <c r="F103">
        <v>71</v>
      </c>
      <c r="G103">
        <v>1.794E-3</v>
      </c>
      <c r="H103" t="s">
        <v>26</v>
      </c>
      <c r="K103">
        <f t="shared" si="1"/>
        <v>1.8E-3</v>
      </c>
    </row>
    <row r="104" spans="1:11" x14ac:dyDescent="0.3">
      <c r="A104">
        <v>127</v>
      </c>
      <c r="B104">
        <v>36.153973999999998</v>
      </c>
      <c r="C104" t="s">
        <v>8</v>
      </c>
      <c r="D104" t="s">
        <v>14</v>
      </c>
      <c r="E104" t="s">
        <v>10</v>
      </c>
      <c r="F104">
        <v>54</v>
      </c>
      <c r="G104">
        <v>4.002E-2</v>
      </c>
      <c r="H104" t="s">
        <v>57</v>
      </c>
      <c r="K104">
        <f t="shared" si="1"/>
        <v>4.0100000000000004E-2</v>
      </c>
    </row>
    <row r="105" spans="1:11" x14ac:dyDescent="0.3">
      <c r="A105">
        <v>128</v>
      </c>
      <c r="B105">
        <v>37.056499000000002</v>
      </c>
      <c r="C105" t="s">
        <v>14</v>
      </c>
      <c r="D105" t="s">
        <v>8</v>
      </c>
      <c r="E105" t="s">
        <v>18</v>
      </c>
      <c r="F105">
        <v>71</v>
      </c>
      <c r="G105">
        <v>0.90252500000000002</v>
      </c>
      <c r="H105" t="s">
        <v>26</v>
      </c>
      <c r="K105">
        <f t="shared" si="1"/>
        <v>0.90259999999999996</v>
      </c>
    </row>
    <row r="106" spans="1:11" x14ac:dyDescent="0.3">
      <c r="A106">
        <v>129</v>
      </c>
      <c r="B106">
        <v>37.107266000000003</v>
      </c>
      <c r="C106" t="s">
        <v>8</v>
      </c>
      <c r="D106" t="s">
        <v>14</v>
      </c>
      <c r="E106" t="s">
        <v>10</v>
      </c>
      <c r="F106">
        <v>54</v>
      </c>
      <c r="G106">
        <v>5.0767E-2</v>
      </c>
      <c r="H106" t="s">
        <v>58</v>
      </c>
      <c r="K106">
        <f t="shared" si="1"/>
        <v>5.0800000000000005E-2</v>
      </c>
    </row>
    <row r="107" spans="1:11" x14ac:dyDescent="0.3">
      <c r="A107">
        <v>130</v>
      </c>
      <c r="B107">
        <v>37.968645000000002</v>
      </c>
      <c r="C107" t="s">
        <v>8</v>
      </c>
      <c r="D107" t="s">
        <v>14</v>
      </c>
      <c r="E107" t="s">
        <v>18</v>
      </c>
      <c r="F107">
        <v>71</v>
      </c>
      <c r="G107">
        <v>0.86137900000000001</v>
      </c>
      <c r="H107" t="s">
        <v>26</v>
      </c>
      <c r="K107">
        <f t="shared" si="1"/>
        <v>0.86139999999999994</v>
      </c>
    </row>
    <row r="108" spans="1:11" x14ac:dyDescent="0.3">
      <c r="A108">
        <v>131</v>
      </c>
      <c r="B108">
        <v>37.970005999999998</v>
      </c>
      <c r="C108" t="s">
        <v>14</v>
      </c>
      <c r="D108" t="s">
        <v>8</v>
      </c>
      <c r="E108" t="s">
        <v>18</v>
      </c>
      <c r="F108">
        <v>71</v>
      </c>
      <c r="G108">
        <v>1.361E-3</v>
      </c>
      <c r="H108" t="s">
        <v>26</v>
      </c>
      <c r="K108">
        <f t="shared" si="1"/>
        <v>1.4E-3</v>
      </c>
    </row>
    <row r="109" spans="1:11" x14ac:dyDescent="0.3">
      <c r="A109">
        <v>132</v>
      </c>
      <c r="B109">
        <v>38.01164</v>
      </c>
      <c r="C109" t="s">
        <v>8</v>
      </c>
      <c r="D109" t="s">
        <v>14</v>
      </c>
      <c r="E109" t="s">
        <v>10</v>
      </c>
      <c r="F109">
        <v>54</v>
      </c>
      <c r="G109">
        <v>4.1633999999999997E-2</v>
      </c>
      <c r="H109" t="s">
        <v>59</v>
      </c>
      <c r="K109">
        <f t="shared" si="1"/>
        <v>4.1700000000000001E-2</v>
      </c>
    </row>
    <row r="110" spans="1:11" x14ac:dyDescent="0.3">
      <c r="A110">
        <v>133</v>
      </c>
      <c r="B110">
        <v>38.868110000000001</v>
      </c>
      <c r="C110" t="s">
        <v>14</v>
      </c>
      <c r="D110" t="s">
        <v>8</v>
      </c>
      <c r="E110" t="s">
        <v>18</v>
      </c>
      <c r="F110">
        <v>71</v>
      </c>
      <c r="G110">
        <v>0.85646999999999995</v>
      </c>
      <c r="H110" t="s">
        <v>26</v>
      </c>
      <c r="K110">
        <f t="shared" si="1"/>
        <v>0.85650000000000004</v>
      </c>
    </row>
    <row r="111" spans="1:11" x14ac:dyDescent="0.3">
      <c r="A111">
        <v>134</v>
      </c>
      <c r="B111">
        <v>38.918360999999997</v>
      </c>
      <c r="C111" t="s">
        <v>8</v>
      </c>
      <c r="D111" t="s">
        <v>14</v>
      </c>
      <c r="E111" t="s">
        <v>10</v>
      </c>
      <c r="F111">
        <v>54</v>
      </c>
      <c r="G111">
        <v>5.0250999999999997E-2</v>
      </c>
      <c r="H111" t="s">
        <v>60</v>
      </c>
      <c r="K111">
        <f t="shared" si="1"/>
        <v>5.0300000000000004E-2</v>
      </c>
    </row>
    <row r="112" spans="1:11" x14ac:dyDescent="0.3">
      <c r="A112">
        <v>135</v>
      </c>
      <c r="B112">
        <v>39.754092999999997</v>
      </c>
      <c r="C112" t="s">
        <v>8</v>
      </c>
      <c r="D112" t="s">
        <v>14</v>
      </c>
      <c r="E112" t="s">
        <v>18</v>
      </c>
      <c r="F112">
        <v>71</v>
      </c>
      <c r="G112">
        <v>0.83573200000000003</v>
      </c>
      <c r="H112" t="s">
        <v>26</v>
      </c>
      <c r="K112">
        <f t="shared" si="1"/>
        <v>0.83579999999999999</v>
      </c>
    </row>
    <row r="113" spans="1:11" x14ac:dyDescent="0.3">
      <c r="A113">
        <v>136</v>
      </c>
      <c r="B113">
        <v>39.756560999999998</v>
      </c>
      <c r="C113" t="s">
        <v>14</v>
      </c>
      <c r="D113" t="s">
        <v>8</v>
      </c>
      <c r="E113" t="s">
        <v>18</v>
      </c>
      <c r="F113">
        <v>71</v>
      </c>
      <c r="G113">
        <v>2.4680000000000001E-3</v>
      </c>
      <c r="H113" t="s">
        <v>26</v>
      </c>
      <c r="K113">
        <f t="shared" si="1"/>
        <v>2.4999999999999996E-3</v>
      </c>
    </row>
    <row r="114" spans="1:11" x14ac:dyDescent="0.3">
      <c r="A114">
        <v>137</v>
      </c>
      <c r="B114">
        <v>39.808632000000003</v>
      </c>
      <c r="C114" t="s">
        <v>8</v>
      </c>
      <c r="D114" t="s">
        <v>14</v>
      </c>
      <c r="E114" t="s">
        <v>10</v>
      </c>
      <c r="F114">
        <v>54</v>
      </c>
      <c r="G114">
        <v>5.2070999999999999E-2</v>
      </c>
      <c r="H114" t="s">
        <v>61</v>
      </c>
      <c r="K114">
        <f t="shared" si="1"/>
        <v>5.21E-2</v>
      </c>
    </row>
    <row r="115" spans="1:11" x14ac:dyDescent="0.3">
      <c r="A115">
        <v>140</v>
      </c>
      <c r="B115">
        <v>40.630958999999997</v>
      </c>
      <c r="C115" t="s">
        <v>14</v>
      </c>
      <c r="D115" t="s">
        <v>8</v>
      </c>
      <c r="E115" t="s">
        <v>18</v>
      </c>
      <c r="F115">
        <v>71</v>
      </c>
      <c r="G115">
        <v>0.82232700000000003</v>
      </c>
      <c r="H115" t="s">
        <v>26</v>
      </c>
      <c r="K115">
        <f t="shared" si="1"/>
        <v>0.82240000000000002</v>
      </c>
    </row>
    <row r="116" spans="1:11" x14ac:dyDescent="0.3">
      <c r="A116">
        <v>141</v>
      </c>
      <c r="B116">
        <v>40.681261999999997</v>
      </c>
      <c r="C116" t="s">
        <v>8</v>
      </c>
      <c r="D116" t="s">
        <v>14</v>
      </c>
      <c r="E116" t="s">
        <v>10</v>
      </c>
      <c r="F116">
        <v>54</v>
      </c>
      <c r="G116">
        <v>5.0303E-2</v>
      </c>
      <c r="H116" t="s">
        <v>62</v>
      </c>
      <c r="K116">
        <f t="shared" si="1"/>
        <v>5.04E-2</v>
      </c>
    </row>
    <row r="117" spans="1:11" x14ac:dyDescent="0.3">
      <c r="A117">
        <v>142</v>
      </c>
      <c r="B117">
        <v>41.165739000000002</v>
      </c>
      <c r="C117" t="s">
        <v>8</v>
      </c>
      <c r="D117" t="s">
        <v>9</v>
      </c>
      <c r="E117" t="s">
        <v>10</v>
      </c>
      <c r="F117">
        <v>66</v>
      </c>
      <c r="G117">
        <v>0.48447699999999999</v>
      </c>
      <c r="H117" t="s">
        <v>63</v>
      </c>
      <c r="K117">
        <f t="shared" si="1"/>
        <v>0.48449999999999999</v>
      </c>
    </row>
    <row r="118" spans="1:11" x14ac:dyDescent="0.3">
      <c r="A118">
        <v>143</v>
      </c>
      <c r="B118">
        <v>41.471770999999997</v>
      </c>
      <c r="C118" t="s">
        <v>9</v>
      </c>
      <c r="D118" t="s">
        <v>8</v>
      </c>
      <c r="E118" t="s">
        <v>10</v>
      </c>
      <c r="F118">
        <v>60</v>
      </c>
      <c r="G118">
        <v>0.30603200000000003</v>
      </c>
      <c r="H118" t="s">
        <v>64</v>
      </c>
      <c r="K118">
        <f t="shared" si="1"/>
        <v>0.30609999999999998</v>
      </c>
    </row>
    <row r="119" spans="1:11" x14ac:dyDescent="0.3">
      <c r="A119">
        <v>144</v>
      </c>
      <c r="B119">
        <v>41.565480000000001</v>
      </c>
      <c r="C119" t="s">
        <v>8</v>
      </c>
      <c r="D119" t="s">
        <v>14</v>
      </c>
      <c r="E119" t="s">
        <v>18</v>
      </c>
      <c r="F119">
        <v>71</v>
      </c>
      <c r="G119">
        <v>9.3709000000000001E-2</v>
      </c>
      <c r="H119" t="s">
        <v>26</v>
      </c>
      <c r="K119">
        <f t="shared" si="1"/>
        <v>9.3800000000000008E-2</v>
      </c>
    </row>
    <row r="120" spans="1:11" x14ac:dyDescent="0.3">
      <c r="A120">
        <v>145</v>
      </c>
      <c r="B120">
        <v>41.568404000000001</v>
      </c>
      <c r="C120" t="s">
        <v>14</v>
      </c>
      <c r="D120" t="s">
        <v>8</v>
      </c>
      <c r="E120" t="s">
        <v>18</v>
      </c>
      <c r="F120">
        <v>71</v>
      </c>
      <c r="G120">
        <v>2.9239999999999999E-3</v>
      </c>
      <c r="H120" t="s">
        <v>26</v>
      </c>
      <c r="K120">
        <f t="shared" si="1"/>
        <v>2.9999999999999996E-3</v>
      </c>
    </row>
    <row r="121" spans="1:11" x14ac:dyDescent="0.3">
      <c r="A121">
        <v>146</v>
      </c>
      <c r="B121">
        <v>41.618392</v>
      </c>
      <c r="C121" t="s">
        <v>8</v>
      </c>
      <c r="D121" t="s">
        <v>14</v>
      </c>
      <c r="E121" t="s">
        <v>10</v>
      </c>
      <c r="F121">
        <v>54</v>
      </c>
      <c r="G121">
        <v>4.9987999999999998E-2</v>
      </c>
      <c r="H121" t="s">
        <v>65</v>
      </c>
      <c r="K121">
        <f t="shared" si="1"/>
        <v>0.05</v>
      </c>
    </row>
    <row r="122" spans="1:11" x14ac:dyDescent="0.3">
      <c r="A122">
        <v>147</v>
      </c>
      <c r="B122">
        <v>41.977328999999997</v>
      </c>
      <c r="C122" t="s">
        <v>8</v>
      </c>
      <c r="D122" t="s">
        <v>9</v>
      </c>
      <c r="E122" t="s">
        <v>10</v>
      </c>
      <c r="F122">
        <v>66</v>
      </c>
      <c r="G122">
        <v>0.35893700000000001</v>
      </c>
      <c r="H122" t="s">
        <v>66</v>
      </c>
      <c r="K122">
        <f t="shared" si="1"/>
        <v>0.35899999999999999</v>
      </c>
    </row>
    <row r="123" spans="1:11" x14ac:dyDescent="0.3">
      <c r="A123">
        <v>148</v>
      </c>
      <c r="B123">
        <v>42.282392000000002</v>
      </c>
      <c r="C123" t="s">
        <v>9</v>
      </c>
      <c r="D123" t="s">
        <v>8</v>
      </c>
      <c r="E123" t="s">
        <v>10</v>
      </c>
      <c r="F123">
        <v>60</v>
      </c>
      <c r="G123">
        <v>0.30506299999999997</v>
      </c>
      <c r="H123" t="s">
        <v>64</v>
      </c>
      <c r="K123">
        <f t="shared" si="1"/>
        <v>0.30509999999999998</v>
      </c>
    </row>
    <row r="124" spans="1:11" x14ac:dyDescent="0.3">
      <c r="A124">
        <v>149</v>
      </c>
      <c r="B124">
        <v>42.401761</v>
      </c>
      <c r="C124" t="s">
        <v>14</v>
      </c>
      <c r="D124" t="s">
        <v>8</v>
      </c>
      <c r="E124" t="s">
        <v>18</v>
      </c>
      <c r="F124">
        <v>71</v>
      </c>
      <c r="G124">
        <v>0.119369</v>
      </c>
      <c r="H124" t="s">
        <v>26</v>
      </c>
      <c r="K124">
        <f t="shared" si="1"/>
        <v>0.11940000000000001</v>
      </c>
    </row>
    <row r="125" spans="1:11" x14ac:dyDescent="0.3">
      <c r="A125">
        <v>150</v>
      </c>
      <c r="B125">
        <v>42.447651</v>
      </c>
      <c r="C125" t="s">
        <v>8</v>
      </c>
      <c r="D125" t="s">
        <v>14</v>
      </c>
      <c r="E125" t="s">
        <v>10</v>
      </c>
      <c r="F125">
        <v>54</v>
      </c>
      <c r="G125">
        <v>4.589E-2</v>
      </c>
      <c r="H125" t="s">
        <v>67</v>
      </c>
      <c r="K125">
        <f t="shared" si="1"/>
        <v>4.5900000000000003E-2</v>
      </c>
    </row>
    <row r="126" spans="1:11" x14ac:dyDescent="0.3">
      <c r="A126">
        <v>151</v>
      </c>
      <c r="B126">
        <v>42.791510000000002</v>
      </c>
      <c r="C126" t="s">
        <v>8</v>
      </c>
      <c r="D126" t="s">
        <v>9</v>
      </c>
      <c r="E126" t="s">
        <v>10</v>
      </c>
      <c r="F126">
        <v>66</v>
      </c>
      <c r="G126">
        <v>0.34385900000000003</v>
      </c>
      <c r="H126" t="s">
        <v>66</v>
      </c>
      <c r="K126">
        <f t="shared" si="1"/>
        <v>0.34389999999999998</v>
      </c>
    </row>
    <row r="127" spans="1:11" x14ac:dyDescent="0.3">
      <c r="A127">
        <v>152</v>
      </c>
      <c r="B127">
        <v>42.895839000000002</v>
      </c>
      <c r="C127" t="s">
        <v>9</v>
      </c>
      <c r="D127" t="s">
        <v>8</v>
      </c>
      <c r="E127" t="s">
        <v>10</v>
      </c>
      <c r="F127">
        <v>60</v>
      </c>
      <c r="G127">
        <v>0.10432900000000001</v>
      </c>
      <c r="H127" t="s">
        <v>64</v>
      </c>
      <c r="K127">
        <f t="shared" si="1"/>
        <v>0.10440000000000001</v>
      </c>
    </row>
    <row r="128" spans="1:11" x14ac:dyDescent="0.3">
      <c r="A128">
        <v>153</v>
      </c>
      <c r="B128">
        <v>43.227449</v>
      </c>
      <c r="C128" t="s">
        <v>8</v>
      </c>
      <c r="D128" t="s">
        <v>14</v>
      </c>
      <c r="E128" t="s">
        <v>18</v>
      </c>
      <c r="F128">
        <v>71</v>
      </c>
      <c r="G128">
        <v>0.33161000000000002</v>
      </c>
      <c r="H128" t="s">
        <v>26</v>
      </c>
      <c r="K128">
        <f t="shared" si="1"/>
        <v>0.33169999999999999</v>
      </c>
    </row>
    <row r="129" spans="1:11" x14ac:dyDescent="0.3">
      <c r="A129">
        <v>154</v>
      </c>
      <c r="B129">
        <v>43.228878999999999</v>
      </c>
      <c r="C129" t="s">
        <v>14</v>
      </c>
      <c r="D129" t="s">
        <v>8</v>
      </c>
      <c r="E129" t="s">
        <v>18</v>
      </c>
      <c r="F129">
        <v>71</v>
      </c>
      <c r="G129">
        <v>1.4300000000000001E-3</v>
      </c>
      <c r="H129" t="s">
        <v>26</v>
      </c>
      <c r="K129">
        <f t="shared" si="1"/>
        <v>1.5E-3</v>
      </c>
    </row>
    <row r="130" spans="1:11" x14ac:dyDescent="0.3">
      <c r="A130">
        <v>155</v>
      </c>
      <c r="B130">
        <v>43.277275000000003</v>
      </c>
      <c r="C130" t="s">
        <v>8</v>
      </c>
      <c r="D130" t="s">
        <v>14</v>
      </c>
      <c r="E130" t="s">
        <v>10</v>
      </c>
      <c r="F130">
        <v>54</v>
      </c>
      <c r="G130">
        <v>4.8396000000000002E-2</v>
      </c>
      <c r="H130" t="s">
        <v>68</v>
      </c>
      <c r="K130">
        <f t="shared" si="1"/>
        <v>4.8400000000000006E-2</v>
      </c>
    </row>
    <row r="131" spans="1:11" x14ac:dyDescent="0.3">
      <c r="A131">
        <v>156</v>
      </c>
      <c r="B131">
        <v>43.401691999999997</v>
      </c>
      <c r="C131" t="s">
        <v>8</v>
      </c>
      <c r="D131" t="s">
        <v>9</v>
      </c>
      <c r="E131" t="s">
        <v>10</v>
      </c>
      <c r="F131">
        <v>66</v>
      </c>
      <c r="G131">
        <v>0.124417</v>
      </c>
      <c r="H131" t="s">
        <v>66</v>
      </c>
      <c r="K131">
        <f t="shared" si="1"/>
        <v>0.1245</v>
      </c>
    </row>
    <row r="132" spans="1:11" x14ac:dyDescent="0.3">
      <c r="A132">
        <v>157</v>
      </c>
      <c r="B132">
        <v>43.465133000000002</v>
      </c>
      <c r="C132" t="s">
        <v>9</v>
      </c>
      <c r="D132" t="s">
        <v>8</v>
      </c>
      <c r="E132" t="s">
        <v>10</v>
      </c>
      <c r="F132">
        <v>60</v>
      </c>
      <c r="G132">
        <v>6.3440999999999997E-2</v>
      </c>
      <c r="H132" t="s">
        <v>64</v>
      </c>
      <c r="K132">
        <f t="shared" ref="K132:K151" si="2">ROUNDUP(G132,4)</f>
        <v>6.3500000000000001E-2</v>
      </c>
    </row>
    <row r="133" spans="1:11" x14ac:dyDescent="0.3">
      <c r="A133">
        <v>161</v>
      </c>
      <c r="B133">
        <v>43.96584</v>
      </c>
      <c r="C133" t="s">
        <v>8</v>
      </c>
      <c r="D133" t="s">
        <v>9</v>
      </c>
      <c r="E133" t="s">
        <v>10</v>
      </c>
      <c r="F133">
        <v>66</v>
      </c>
      <c r="G133">
        <v>0.50070700000000001</v>
      </c>
      <c r="H133" t="s">
        <v>66</v>
      </c>
      <c r="K133">
        <f t="shared" si="2"/>
        <v>0.50080000000000002</v>
      </c>
    </row>
    <row r="134" spans="1:11" x14ac:dyDescent="0.3">
      <c r="A134">
        <v>162</v>
      </c>
      <c r="B134">
        <v>44.012141999999997</v>
      </c>
      <c r="C134" t="s">
        <v>14</v>
      </c>
      <c r="D134" t="s">
        <v>8</v>
      </c>
      <c r="E134" t="s">
        <v>18</v>
      </c>
      <c r="F134">
        <v>71</v>
      </c>
      <c r="G134">
        <v>4.6302000000000003E-2</v>
      </c>
      <c r="H134" t="s">
        <v>26</v>
      </c>
      <c r="K134">
        <f t="shared" si="2"/>
        <v>4.6400000000000004E-2</v>
      </c>
    </row>
    <row r="135" spans="1:11" x14ac:dyDescent="0.3">
      <c r="A135">
        <v>163</v>
      </c>
      <c r="B135">
        <v>44.057080999999997</v>
      </c>
      <c r="C135" t="s">
        <v>8</v>
      </c>
      <c r="D135" t="s">
        <v>14</v>
      </c>
      <c r="E135" t="s">
        <v>10</v>
      </c>
      <c r="F135">
        <v>54</v>
      </c>
      <c r="G135">
        <v>4.4939E-2</v>
      </c>
      <c r="H135" t="s">
        <v>69</v>
      </c>
      <c r="K135">
        <f t="shared" si="2"/>
        <v>4.5000000000000005E-2</v>
      </c>
    </row>
    <row r="136" spans="1:11" x14ac:dyDescent="0.3">
      <c r="A136">
        <v>164</v>
      </c>
      <c r="B136">
        <v>44.071103999999998</v>
      </c>
      <c r="C136" t="s">
        <v>9</v>
      </c>
      <c r="D136" t="s">
        <v>8</v>
      </c>
      <c r="E136" t="s">
        <v>10</v>
      </c>
      <c r="F136">
        <v>60</v>
      </c>
      <c r="G136">
        <v>1.4023000000000001E-2</v>
      </c>
      <c r="H136" t="s">
        <v>64</v>
      </c>
      <c r="K136">
        <f t="shared" si="2"/>
        <v>1.41E-2</v>
      </c>
    </row>
    <row r="137" spans="1:11" x14ac:dyDescent="0.3">
      <c r="A137">
        <v>169</v>
      </c>
      <c r="B137">
        <v>44.976796</v>
      </c>
      <c r="C137" t="s">
        <v>8</v>
      </c>
      <c r="D137" t="s">
        <v>14</v>
      </c>
      <c r="E137" t="s">
        <v>18</v>
      </c>
      <c r="F137">
        <v>71</v>
      </c>
      <c r="G137">
        <v>0.90569200000000005</v>
      </c>
      <c r="H137" t="s">
        <v>26</v>
      </c>
      <c r="K137">
        <f t="shared" si="2"/>
        <v>0.90569999999999995</v>
      </c>
    </row>
    <row r="138" spans="1:11" x14ac:dyDescent="0.3">
      <c r="A138">
        <v>170</v>
      </c>
      <c r="B138">
        <v>44.978115000000003</v>
      </c>
      <c r="C138" t="s">
        <v>14</v>
      </c>
      <c r="D138" t="s">
        <v>8</v>
      </c>
      <c r="E138" t="s">
        <v>18</v>
      </c>
      <c r="F138">
        <v>71</v>
      </c>
      <c r="G138">
        <v>1.3190000000000001E-3</v>
      </c>
      <c r="H138" t="s">
        <v>26</v>
      </c>
      <c r="K138">
        <f t="shared" si="2"/>
        <v>1.4E-3</v>
      </c>
    </row>
    <row r="139" spans="1:11" x14ac:dyDescent="0.3">
      <c r="A139">
        <v>171</v>
      </c>
      <c r="B139">
        <v>45.026649999999997</v>
      </c>
      <c r="C139" t="s">
        <v>8</v>
      </c>
      <c r="D139" t="s">
        <v>14</v>
      </c>
      <c r="E139" t="s">
        <v>10</v>
      </c>
      <c r="F139">
        <v>54</v>
      </c>
      <c r="G139">
        <v>4.8535000000000002E-2</v>
      </c>
      <c r="H139" t="s">
        <v>70</v>
      </c>
      <c r="K139">
        <f t="shared" si="2"/>
        <v>4.8600000000000004E-2</v>
      </c>
    </row>
    <row r="140" spans="1:11" x14ac:dyDescent="0.3">
      <c r="A140">
        <v>178</v>
      </c>
      <c r="B140">
        <v>46.109025000000003</v>
      </c>
      <c r="C140" t="s">
        <v>14</v>
      </c>
      <c r="D140" t="s">
        <v>8</v>
      </c>
      <c r="E140" t="s">
        <v>18</v>
      </c>
      <c r="F140">
        <v>71</v>
      </c>
      <c r="G140">
        <v>1.0823750000000001</v>
      </c>
      <c r="H140" t="s">
        <v>26</v>
      </c>
      <c r="K140">
        <f t="shared" si="2"/>
        <v>1.0824</v>
      </c>
    </row>
    <row r="141" spans="1:11" x14ac:dyDescent="0.3">
      <c r="A141">
        <v>179</v>
      </c>
      <c r="B141">
        <v>46.158394999999999</v>
      </c>
      <c r="C141" t="s">
        <v>8</v>
      </c>
      <c r="D141" t="s">
        <v>14</v>
      </c>
      <c r="E141" t="s">
        <v>10</v>
      </c>
      <c r="F141">
        <v>54</v>
      </c>
      <c r="G141">
        <v>4.9369999999999997E-2</v>
      </c>
      <c r="H141" t="s">
        <v>71</v>
      </c>
      <c r="K141">
        <f t="shared" si="2"/>
        <v>4.9399999999999999E-2</v>
      </c>
    </row>
    <row r="142" spans="1:11" x14ac:dyDescent="0.3">
      <c r="A142">
        <v>180</v>
      </c>
      <c r="B142">
        <v>46.887675999999999</v>
      </c>
      <c r="C142" t="s">
        <v>8</v>
      </c>
      <c r="D142" t="s">
        <v>14</v>
      </c>
      <c r="E142" t="s">
        <v>18</v>
      </c>
      <c r="F142">
        <v>71</v>
      </c>
      <c r="G142">
        <v>0.72928099999999996</v>
      </c>
      <c r="H142" t="s">
        <v>26</v>
      </c>
      <c r="K142">
        <f t="shared" si="2"/>
        <v>0.72929999999999995</v>
      </c>
    </row>
    <row r="143" spans="1:11" x14ac:dyDescent="0.3">
      <c r="A143">
        <v>181</v>
      </c>
      <c r="B143">
        <v>46.889727000000001</v>
      </c>
      <c r="C143" t="s">
        <v>14</v>
      </c>
      <c r="D143" t="s">
        <v>8</v>
      </c>
      <c r="E143" t="s">
        <v>18</v>
      </c>
      <c r="F143">
        <v>71</v>
      </c>
      <c r="G143">
        <v>2.0509999999999999E-3</v>
      </c>
      <c r="H143" t="s">
        <v>26</v>
      </c>
      <c r="K143">
        <f t="shared" si="2"/>
        <v>2.0999999999999999E-3</v>
      </c>
    </row>
    <row r="144" spans="1:11" x14ac:dyDescent="0.3">
      <c r="A144">
        <v>182</v>
      </c>
      <c r="B144">
        <v>46.940908</v>
      </c>
      <c r="C144" t="s">
        <v>8</v>
      </c>
      <c r="D144" t="s">
        <v>14</v>
      </c>
      <c r="E144" t="s">
        <v>10</v>
      </c>
      <c r="F144">
        <v>54</v>
      </c>
      <c r="G144">
        <v>5.1180999999999997E-2</v>
      </c>
      <c r="H144" t="s">
        <v>72</v>
      </c>
      <c r="K144">
        <f t="shared" si="2"/>
        <v>5.1200000000000002E-2</v>
      </c>
    </row>
    <row r="145" spans="1:14" x14ac:dyDescent="0.3">
      <c r="A145">
        <v>189</v>
      </c>
      <c r="B145">
        <v>47.794471000000001</v>
      </c>
      <c r="C145" t="s">
        <v>14</v>
      </c>
      <c r="D145" t="s">
        <v>8</v>
      </c>
      <c r="E145" t="s">
        <v>18</v>
      </c>
      <c r="F145">
        <v>71</v>
      </c>
      <c r="G145">
        <v>0.85356299999999996</v>
      </c>
      <c r="H145" t="s">
        <v>26</v>
      </c>
      <c r="K145">
        <f t="shared" si="2"/>
        <v>0.85360000000000003</v>
      </c>
    </row>
    <row r="146" spans="1:14" x14ac:dyDescent="0.3">
      <c r="A146">
        <v>190</v>
      </c>
      <c r="B146">
        <v>47.848984999999999</v>
      </c>
      <c r="C146" t="s">
        <v>8</v>
      </c>
      <c r="D146" t="s">
        <v>14</v>
      </c>
      <c r="E146" t="s">
        <v>10</v>
      </c>
      <c r="F146">
        <v>54</v>
      </c>
      <c r="G146">
        <v>5.4514E-2</v>
      </c>
      <c r="H146" t="s">
        <v>73</v>
      </c>
      <c r="K146">
        <f t="shared" si="2"/>
        <v>5.4600000000000003E-2</v>
      </c>
    </row>
    <row r="147" spans="1:14" x14ac:dyDescent="0.3">
      <c r="A147">
        <v>191</v>
      </c>
      <c r="B147">
        <v>48.707956000000003</v>
      </c>
      <c r="C147" t="s">
        <v>8</v>
      </c>
      <c r="D147" t="s">
        <v>14</v>
      </c>
      <c r="E147" t="s">
        <v>18</v>
      </c>
      <c r="F147">
        <v>71</v>
      </c>
      <c r="G147">
        <v>0.85897100000000004</v>
      </c>
      <c r="H147" t="s">
        <v>26</v>
      </c>
      <c r="K147">
        <f t="shared" si="2"/>
        <v>0.85899999999999999</v>
      </c>
    </row>
    <row r="148" spans="1:14" x14ac:dyDescent="0.3">
      <c r="A148">
        <v>192</v>
      </c>
      <c r="B148">
        <v>48.709916999999997</v>
      </c>
      <c r="C148" t="s">
        <v>14</v>
      </c>
      <c r="D148" t="s">
        <v>8</v>
      </c>
      <c r="E148" t="s">
        <v>18</v>
      </c>
      <c r="F148">
        <v>71</v>
      </c>
      <c r="G148">
        <v>1.9610000000000001E-3</v>
      </c>
      <c r="H148" t="s">
        <v>26</v>
      </c>
      <c r="K148">
        <f t="shared" si="2"/>
        <v>2E-3</v>
      </c>
    </row>
    <row r="149" spans="1:14" x14ac:dyDescent="0.3">
      <c r="A149">
        <v>193</v>
      </c>
      <c r="B149">
        <v>48.762262</v>
      </c>
      <c r="C149" t="s">
        <v>8</v>
      </c>
      <c r="D149" t="s">
        <v>14</v>
      </c>
      <c r="E149" t="s">
        <v>10</v>
      </c>
      <c r="F149">
        <v>54</v>
      </c>
      <c r="G149">
        <v>5.2345000000000003E-2</v>
      </c>
      <c r="H149" t="s">
        <v>74</v>
      </c>
      <c r="K149">
        <f t="shared" si="2"/>
        <v>5.2400000000000002E-2</v>
      </c>
    </row>
    <row r="150" spans="1:14" x14ac:dyDescent="0.3">
      <c r="A150">
        <v>194</v>
      </c>
      <c r="B150">
        <v>49.969177999999999</v>
      </c>
      <c r="C150" t="s">
        <v>14</v>
      </c>
      <c r="D150" t="s">
        <v>8</v>
      </c>
      <c r="E150" t="s">
        <v>18</v>
      </c>
      <c r="F150">
        <v>71</v>
      </c>
      <c r="G150">
        <v>1.2069160000000001</v>
      </c>
      <c r="H150" t="s">
        <v>26</v>
      </c>
      <c r="K150">
        <f t="shared" si="2"/>
        <v>1.2070000000000001</v>
      </c>
    </row>
    <row r="151" spans="1:14" x14ac:dyDescent="0.3">
      <c r="A151">
        <v>195</v>
      </c>
      <c r="B151">
        <v>50.018797999999997</v>
      </c>
      <c r="C151" t="s">
        <v>8</v>
      </c>
      <c r="D151" t="s">
        <v>14</v>
      </c>
      <c r="E151" t="s">
        <v>10</v>
      </c>
      <c r="F151">
        <v>54</v>
      </c>
      <c r="G151">
        <v>4.9619999999999997E-2</v>
      </c>
      <c r="H151" t="s">
        <v>75</v>
      </c>
      <c r="K151">
        <f t="shared" si="2"/>
        <v>4.9700000000000001E-2</v>
      </c>
    </row>
    <row r="152" spans="1:14" x14ac:dyDescent="0.3">
      <c r="J152" s="2" t="s">
        <v>76</v>
      </c>
      <c r="K152" s="1">
        <f>SUM(K2:K151)</f>
        <v>50.02640000000001</v>
      </c>
      <c r="L152" s="1">
        <v>150</v>
      </c>
      <c r="M152" s="1">
        <f>K152/L152</f>
        <v>0.33350933333333338</v>
      </c>
      <c r="N152" s="1" t="s">
        <v>77</v>
      </c>
    </row>
    <row r="153" spans="1:14" x14ac:dyDescent="0.3">
      <c r="J153" s="1"/>
      <c r="K153" s="1"/>
      <c r="L153" s="1"/>
      <c r="M153" s="3">
        <f>M152*1000</f>
        <v>333.50933333333336</v>
      </c>
      <c r="N153" s="1" t="s">
        <v>78</v>
      </c>
    </row>
    <row r="154" spans="1:14" x14ac:dyDescent="0.3">
      <c r="J154" s="1"/>
      <c r="K154" s="1"/>
      <c r="L154" s="1"/>
      <c r="M154" s="1"/>
      <c r="N154" s="1"/>
    </row>
    <row r="155" spans="1:14" x14ac:dyDescent="0.3">
      <c r="J155" s="2" t="s">
        <v>79</v>
      </c>
      <c r="K155" s="1">
        <v>9583</v>
      </c>
      <c r="L155" s="1" t="s">
        <v>80</v>
      </c>
      <c r="M155" s="1"/>
      <c r="N155" s="1"/>
    </row>
    <row r="156" spans="1:14" x14ac:dyDescent="0.3">
      <c r="J156" s="1"/>
      <c r="K156" s="1">
        <f>K155/K152</f>
        <v>191.55885692354434</v>
      </c>
      <c r="L156" s="1" t="s">
        <v>80</v>
      </c>
      <c r="M156" s="1"/>
      <c r="N156" s="1"/>
    </row>
    <row r="157" spans="1:14" x14ac:dyDescent="0.3">
      <c r="J157" s="1"/>
      <c r="K157" s="1">
        <f>K156*8</f>
        <v>1532.4708553883547</v>
      </c>
      <c r="L157" s="1" t="s">
        <v>81</v>
      </c>
      <c r="M157" s="1"/>
      <c r="N157" s="1"/>
    </row>
    <row r="158" spans="1:14" x14ac:dyDescent="0.3">
      <c r="J158" s="1"/>
      <c r="K158" s="3">
        <f>K157/1000</f>
        <v>1.5324708553883548</v>
      </c>
      <c r="L158" s="1" t="s">
        <v>82</v>
      </c>
      <c r="M158" s="1"/>
      <c r="N158" s="1"/>
    </row>
    <row r="159" spans="1:14" x14ac:dyDescent="0.3">
      <c r="J159" s="1"/>
      <c r="K159" s="1"/>
      <c r="L159" s="1"/>
      <c r="M159" s="1"/>
      <c r="N159" s="1"/>
    </row>
    <row r="160" spans="1:14" x14ac:dyDescent="0.3">
      <c r="J160" s="2" t="s">
        <v>83</v>
      </c>
      <c r="K160" s="1">
        <v>150</v>
      </c>
      <c r="L160" s="1" t="s">
        <v>84</v>
      </c>
      <c r="M160" s="1"/>
      <c r="N160" s="1"/>
    </row>
    <row r="161" spans="10:14" x14ac:dyDescent="0.3">
      <c r="J161" s="1"/>
      <c r="K161" s="1">
        <v>0</v>
      </c>
      <c r="L161" s="1" t="s">
        <v>85</v>
      </c>
      <c r="M161" s="1"/>
      <c r="N161" s="1"/>
    </row>
    <row r="162" spans="10:14" x14ac:dyDescent="0.3">
      <c r="J162" s="1"/>
      <c r="K162" s="3">
        <f>(K161/K160)*100%</f>
        <v>0</v>
      </c>
      <c r="L162" s="1" t="s">
        <v>86</v>
      </c>
      <c r="M162" s="1"/>
      <c r="N162" s="1"/>
    </row>
    <row r="163" spans="10:14" x14ac:dyDescent="0.3">
      <c r="J163" s="1"/>
      <c r="K163" s="1"/>
      <c r="L163" s="1"/>
      <c r="M163" s="1"/>
      <c r="N16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2025-03-05T12:57:03Z</dcterms:created>
  <dcterms:modified xsi:type="dcterms:W3CDTF">2025-04-30T07:16:27Z</dcterms:modified>
</cp:coreProperties>
</file>