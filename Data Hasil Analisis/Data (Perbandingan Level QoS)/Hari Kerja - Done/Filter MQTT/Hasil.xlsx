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Kerja (Senin-Jumat)\Filter MQTT\"/>
    </mc:Choice>
  </mc:AlternateContent>
  <xr:revisionPtr revIDLastSave="0" documentId="13_ncr:1_{CE411085-9E38-4422-9FF7-AD5513157AF5}" xr6:coauthVersionLast="47" xr6:coauthVersionMax="47" xr10:uidLastSave="{00000000-0000-0000-0000-000000000000}"/>
  <bookViews>
    <workbookView xWindow="-108" yWindow="-108" windowWidth="23256" windowHeight="13176" xr2:uid="{517365EA-8B2E-410E-BDEC-C62F0CB7E0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1" l="1"/>
  <c r="B30" i="1"/>
  <c r="D20" i="1"/>
  <c r="B20" i="1"/>
  <c r="D10" i="1"/>
  <c r="B10" i="1"/>
</calcChain>
</file>

<file path=xl/sharedStrings.xml><?xml version="1.0" encoding="utf-8"?>
<sst xmlns="http://schemas.openxmlformats.org/spreadsheetml/2006/main" count="56" uniqueCount="10">
  <si>
    <t>QoS 0</t>
  </si>
  <si>
    <t>Throughput</t>
  </si>
  <si>
    <t>Delay</t>
  </si>
  <si>
    <t>Kbps</t>
  </si>
  <si>
    <t>ms</t>
  </si>
  <si>
    <t>QoS 1</t>
  </si>
  <si>
    <t>QoS 2</t>
  </si>
  <si>
    <t>Rata-Rata =</t>
  </si>
  <si>
    <t>Perbandingan Rata-Rata Throughput</t>
  </si>
  <si>
    <t>Perbandingan Rata-Rata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</si>
</sst>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Perbandingan Rata-Rata Throughput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84-40F1-B206-7B284801F264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84-40F1-B206-7B284801F264}"/>
              </c:ext>
            </c:extLst>
          </c:dPt>
          <c:cat>
            <c:strRef>
              <c:f>Sheet1!$G$4:$G$6</c:f>
              <c:strCache>
                <c:ptCount val="3"/>
                <c:pt idx="0">
                  <c:v>QoS 0</c:v>
                </c:pt>
                <c:pt idx="1">
                  <c:v>QoS 1</c:v>
                </c:pt>
                <c:pt idx="2">
                  <c:v>QoS 2</c:v>
                </c:pt>
              </c:strCache>
            </c:strRef>
          </c:cat>
          <c:val>
            <c:numRef>
              <c:f>Sheet1!$H$4:$H$6</c:f>
              <c:numCache>
                <c:formatCode>General</c:formatCode>
                <c:ptCount val="3"/>
                <c:pt idx="0">
                  <c:v>0.9526</c:v>
                </c:pt>
                <c:pt idx="1">
                  <c:v>2.2202199999999999</c:v>
                </c:pt>
                <c:pt idx="2">
                  <c:v>4.4402200000000001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84-40F1-B206-7B284801F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320816"/>
        <c:axId val="1418318896"/>
      </c:barChart>
      <c:catAx>
        <c:axId val="141832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318896"/>
        <c:crosses val="autoZero"/>
        <c:auto val="1"/>
        <c:lblAlgn val="ctr"/>
        <c:lblOffset val="100"/>
        <c:noMultiLvlLbl val="0"/>
      </c:catAx>
      <c:valAx>
        <c:axId val="141831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Kbps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32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Sheet1!$H$20</c:f>
              <c:strCache>
                <c:ptCount val="1"/>
                <c:pt idx="0">
                  <c:v>Perbandingan Rata-Rata Delay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51-42AD-886C-8FC8C27EAEC6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E51-42AD-886C-8FC8C27EAEC6}"/>
              </c:ext>
            </c:extLst>
          </c:dPt>
          <c:cat>
            <c:strRef>
              <c:f>Sheet1!$G$21:$G$23</c:f>
              <c:strCache>
                <c:ptCount val="3"/>
                <c:pt idx="0">
                  <c:v>QoS 0</c:v>
                </c:pt>
                <c:pt idx="1">
                  <c:v>QoS 1</c:v>
                </c:pt>
                <c:pt idx="2">
                  <c:v>QoS 2</c:v>
                </c:pt>
              </c:strCache>
            </c:strRef>
          </c:cat>
          <c:val>
            <c:numRef>
              <c:f>Sheet1!$H$21:$H$23</c:f>
              <c:numCache>
                <c:formatCode>General</c:formatCode>
                <c:ptCount val="3"/>
                <c:pt idx="0">
                  <c:v>605.17809999999997</c:v>
                </c:pt>
                <c:pt idx="1">
                  <c:v>239.13221999999999</c:v>
                </c:pt>
                <c:pt idx="2">
                  <c:v>113.0057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1-42AD-886C-8FC8C27E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392304"/>
        <c:axId val="1432392784"/>
      </c:barChart>
      <c:catAx>
        <c:axId val="143239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392784"/>
        <c:crosses val="autoZero"/>
        <c:auto val="1"/>
        <c:lblAlgn val="ctr"/>
        <c:lblOffset val="100"/>
        <c:noMultiLvlLbl val="0"/>
      </c:catAx>
      <c:valAx>
        <c:axId val="143239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39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1</xdr:row>
      <xdr:rowOff>175260</xdr:rowOff>
    </xdr:from>
    <xdr:to>
      <xdr:col>16</xdr:col>
      <xdr:colOff>312420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AEC6D-577D-7117-4B2E-68CEF7F7C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7620</xdr:rowOff>
    </xdr:from>
    <xdr:to>
      <xdr:col>16</xdr:col>
      <xdr:colOff>304800</xdr:colOff>
      <xdr:row>34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B12D2F-022E-6D04-6ED2-55595D1C8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18CB-EFCA-4F90-98C8-458478EC20E8}">
  <dimension ref="A2:H30"/>
  <sheetViews>
    <sheetView tabSelected="1" zoomScale="68" workbookViewId="0">
      <selection activeCell="X14" sqref="X14"/>
    </sheetView>
  </sheetViews>
  <sheetFormatPr defaultRowHeight="14.4" x14ac:dyDescent="0.3"/>
  <cols>
    <col min="1" max="1" width="10.6640625" bestFit="1" customWidth="1"/>
    <col min="2" max="2" width="10.33203125" customWidth="1"/>
    <col min="3" max="3" width="4.77734375" bestFit="1" customWidth="1"/>
    <col min="4" max="4" width="9" bestFit="1" customWidth="1"/>
    <col min="5" max="5" width="3.33203125" bestFit="1" customWidth="1"/>
    <col min="8" max="8" width="32.44140625" bestFit="1" customWidth="1"/>
  </cols>
  <sheetData>
    <row r="2" spans="1:8" x14ac:dyDescent="0.3">
      <c r="B2" s="3" t="s">
        <v>0</v>
      </c>
    </row>
    <row r="3" spans="1:8" x14ac:dyDescent="0.3">
      <c r="G3" s="1"/>
      <c r="H3" s="2" t="s">
        <v>8</v>
      </c>
    </row>
    <row r="4" spans="1:8" x14ac:dyDescent="0.3">
      <c r="B4" s="2" t="s">
        <v>1</v>
      </c>
      <c r="C4" s="4"/>
      <c r="D4" s="2" t="s">
        <v>2</v>
      </c>
      <c r="E4" s="4"/>
      <c r="G4" s="2" t="s">
        <v>0</v>
      </c>
      <c r="H4" s="1">
        <v>0.9526</v>
      </c>
    </row>
    <row r="5" spans="1:8" x14ac:dyDescent="0.3">
      <c r="B5" s="1">
        <v>0.78500000000000003</v>
      </c>
      <c r="C5" s="1" t="s">
        <v>3</v>
      </c>
      <c r="D5" s="1">
        <v>724.28120000000001</v>
      </c>
      <c r="E5" s="1" t="s">
        <v>4</v>
      </c>
      <c r="G5" s="2" t="s">
        <v>5</v>
      </c>
      <c r="H5" s="1">
        <v>2.2202199999999999</v>
      </c>
    </row>
    <row r="6" spans="1:8" x14ac:dyDescent="0.3">
      <c r="B6" s="1">
        <v>0.86970000000000003</v>
      </c>
      <c r="C6" s="1" t="s">
        <v>3</v>
      </c>
      <c r="D6" s="1">
        <v>653.76559999999995</v>
      </c>
      <c r="E6" s="1" t="s">
        <v>4</v>
      </c>
      <c r="G6" s="2" t="s">
        <v>6</v>
      </c>
      <c r="H6" s="1">
        <v>4.4402200000000001</v>
      </c>
    </row>
    <row r="7" spans="1:8" x14ac:dyDescent="0.3">
      <c r="B7" s="1">
        <v>0.99260000000000004</v>
      </c>
      <c r="C7" s="1" t="s">
        <v>3</v>
      </c>
      <c r="D7" s="1">
        <v>572.8125</v>
      </c>
      <c r="E7" s="1" t="s">
        <v>4</v>
      </c>
    </row>
    <row r="8" spans="1:8" x14ac:dyDescent="0.3">
      <c r="B8" s="1">
        <v>1.0577000000000001</v>
      </c>
      <c r="C8" s="1" t="s">
        <v>3</v>
      </c>
      <c r="D8" s="1">
        <v>537.59370000000001</v>
      </c>
      <c r="E8" s="1" t="s">
        <v>4</v>
      </c>
    </row>
    <row r="9" spans="1:8" x14ac:dyDescent="0.3">
      <c r="B9" s="1">
        <v>1.0580000000000001</v>
      </c>
      <c r="C9" s="1" t="s">
        <v>3</v>
      </c>
      <c r="D9" s="1">
        <v>537.4375</v>
      </c>
      <c r="E9" s="1" t="s">
        <v>4</v>
      </c>
    </row>
    <row r="10" spans="1:8" x14ac:dyDescent="0.3">
      <c r="A10" s="3" t="s">
        <v>7</v>
      </c>
      <c r="B10" s="1">
        <f>AVERAGE(B5:B9)</f>
        <v>0.9526</v>
      </c>
      <c r="C10" s="1" t="s">
        <v>3</v>
      </c>
      <c r="D10" s="1">
        <f>AVERAGE(D5:D9)</f>
        <v>605.17809999999997</v>
      </c>
      <c r="E10" s="1" t="s">
        <v>4</v>
      </c>
    </row>
    <row r="12" spans="1:8" x14ac:dyDescent="0.3">
      <c r="B12" s="3" t="s">
        <v>5</v>
      </c>
    </row>
    <row r="14" spans="1:8" x14ac:dyDescent="0.3">
      <c r="B14" s="2" t="s">
        <v>1</v>
      </c>
      <c r="C14" s="1"/>
      <c r="D14" s="2" t="s">
        <v>2</v>
      </c>
      <c r="E14" s="1"/>
    </row>
    <row r="15" spans="1:8" x14ac:dyDescent="0.3">
      <c r="B15" s="1">
        <v>2.0510999999999999</v>
      </c>
      <c r="C15" s="1" t="s">
        <v>3</v>
      </c>
      <c r="D15" s="1">
        <v>257.57249999999999</v>
      </c>
      <c r="E15" s="1" t="s">
        <v>4</v>
      </c>
    </row>
    <row r="16" spans="1:8" x14ac:dyDescent="0.3">
      <c r="B16" s="1">
        <v>2.0735000000000001</v>
      </c>
      <c r="C16" s="1" t="s">
        <v>3</v>
      </c>
      <c r="D16" s="1">
        <v>254.7903</v>
      </c>
      <c r="E16" s="1" t="s">
        <v>4</v>
      </c>
    </row>
    <row r="17" spans="1:8" x14ac:dyDescent="0.3">
      <c r="B17" s="1">
        <v>2.1854</v>
      </c>
      <c r="C17" s="1" t="s">
        <v>3</v>
      </c>
      <c r="D17" s="1">
        <v>241.75</v>
      </c>
      <c r="E17" s="1" t="s">
        <v>4</v>
      </c>
    </row>
    <row r="18" spans="1:8" x14ac:dyDescent="0.3">
      <c r="B18" s="1">
        <v>2.3167</v>
      </c>
      <c r="C18" s="1" t="s">
        <v>3</v>
      </c>
      <c r="D18" s="1">
        <v>228.0403</v>
      </c>
      <c r="E18" s="1" t="s">
        <v>4</v>
      </c>
    </row>
    <row r="19" spans="1:8" x14ac:dyDescent="0.3">
      <c r="B19" s="1">
        <v>2.4744000000000002</v>
      </c>
      <c r="C19" s="1" t="s">
        <v>3</v>
      </c>
      <c r="D19" s="1">
        <v>213.50800000000001</v>
      </c>
      <c r="E19" s="1" t="s">
        <v>4</v>
      </c>
    </row>
    <row r="20" spans="1:8" x14ac:dyDescent="0.3">
      <c r="A20" s="3" t="s">
        <v>7</v>
      </c>
      <c r="B20" s="1">
        <f>AVERAGE(B15:B19)</f>
        <v>2.2202199999999999</v>
      </c>
      <c r="C20" s="1" t="s">
        <v>3</v>
      </c>
      <c r="D20" s="1">
        <f>AVERAGE(D15:D19)</f>
        <v>239.13222000000002</v>
      </c>
      <c r="E20" s="1" t="s">
        <v>4</v>
      </c>
      <c r="G20" s="1"/>
      <c r="H20" s="2" t="s">
        <v>9</v>
      </c>
    </row>
    <row r="21" spans="1:8" x14ac:dyDescent="0.3">
      <c r="G21" s="2" t="s">
        <v>0</v>
      </c>
      <c r="H21" s="1">
        <v>605.17809999999997</v>
      </c>
    </row>
    <row r="22" spans="1:8" x14ac:dyDescent="0.3">
      <c r="B22" s="3" t="s">
        <v>6</v>
      </c>
      <c r="G22" s="2" t="s">
        <v>5</v>
      </c>
      <c r="H22" s="1">
        <v>239.13221999999999</v>
      </c>
    </row>
    <row r="23" spans="1:8" x14ac:dyDescent="0.3">
      <c r="G23" s="2" t="s">
        <v>6</v>
      </c>
      <c r="H23" s="1">
        <v>113.0057</v>
      </c>
    </row>
    <row r="24" spans="1:8" x14ac:dyDescent="0.3">
      <c r="B24" s="2" t="s">
        <v>1</v>
      </c>
      <c r="C24" s="1"/>
      <c r="D24" s="2" t="s">
        <v>2</v>
      </c>
      <c r="E24" s="1"/>
    </row>
    <row r="25" spans="1:8" x14ac:dyDescent="0.3">
      <c r="B25" s="1">
        <v>4.2542999999999997</v>
      </c>
      <c r="C25" s="1" t="s">
        <v>3</v>
      </c>
      <c r="D25" s="1">
        <v>117.6721</v>
      </c>
      <c r="E25" s="1" t="s">
        <v>4</v>
      </c>
    </row>
    <row r="26" spans="1:8" x14ac:dyDescent="0.3">
      <c r="B26" s="1">
        <v>4.1830999999999996</v>
      </c>
      <c r="C26" s="1" t="s">
        <v>3</v>
      </c>
      <c r="D26" s="1">
        <v>119.67619999999999</v>
      </c>
      <c r="E26" s="1" t="s">
        <v>4</v>
      </c>
    </row>
    <row r="27" spans="1:8" x14ac:dyDescent="0.3">
      <c r="B27" s="1">
        <v>4.6101999999999999</v>
      </c>
      <c r="C27" s="1" t="s">
        <v>3</v>
      </c>
      <c r="D27" s="1">
        <v>108.59010000000001</v>
      </c>
      <c r="E27" s="1" t="s">
        <v>4</v>
      </c>
    </row>
    <row r="28" spans="1:8" x14ac:dyDescent="0.3">
      <c r="B28" s="1">
        <v>4.4009</v>
      </c>
      <c r="C28" s="1" t="s">
        <v>3</v>
      </c>
      <c r="D28" s="1">
        <v>113.75409999999999</v>
      </c>
      <c r="E28" s="1" t="s">
        <v>4</v>
      </c>
    </row>
    <row r="29" spans="1:8" x14ac:dyDescent="0.3">
      <c r="B29" s="1">
        <v>4.7526000000000002</v>
      </c>
      <c r="C29" s="1" t="s">
        <v>3</v>
      </c>
      <c r="D29" s="1">
        <v>105.336</v>
      </c>
      <c r="E29" s="1" t="s">
        <v>4</v>
      </c>
    </row>
    <row r="30" spans="1:8" x14ac:dyDescent="0.3">
      <c r="A30" s="3" t="s">
        <v>7</v>
      </c>
      <c r="B30" s="1">
        <f>AVERAGE(B25:B29)</f>
        <v>4.4402200000000001</v>
      </c>
      <c r="C30" s="1" t="s">
        <v>3</v>
      </c>
      <c r="D30" s="1">
        <f>AVERAGE(D25:D29)</f>
        <v>113.0057</v>
      </c>
      <c r="E30" s="1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2025-03-10T19:03:28Z</dcterms:created>
  <dcterms:modified xsi:type="dcterms:W3CDTF">2025-03-10T19:22:25Z</dcterms:modified>
</cp:coreProperties>
</file>