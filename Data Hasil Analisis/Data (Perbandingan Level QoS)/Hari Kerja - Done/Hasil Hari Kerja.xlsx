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Perbandingan\Hari Kerja (Senin-Jumat) - Done\"/>
    </mc:Choice>
  </mc:AlternateContent>
  <xr:revisionPtr revIDLastSave="0" documentId="13_ncr:1_{8F2AB240-D498-47A4-B275-C0BD1C82D1DC}" xr6:coauthVersionLast="47" xr6:coauthVersionMax="47" xr10:uidLastSave="{00000000-0000-0000-0000-000000000000}"/>
  <bookViews>
    <workbookView xWindow="-108" yWindow="-108" windowWidth="23256" windowHeight="13176" xr2:uid="{1A8FB5A2-72DA-447F-A1BC-41A1737B10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25" i="1" l="1"/>
  <c r="X25" i="1"/>
  <c r="W25" i="1"/>
  <c r="Y9" i="1"/>
  <c r="X9" i="1"/>
  <c r="W9" i="1"/>
  <c r="E27" i="1"/>
  <c r="C27" i="1"/>
  <c r="G27" i="1" l="1"/>
  <c r="E18" i="1"/>
  <c r="C18" i="1"/>
  <c r="E9" i="1" l="1"/>
  <c r="C9" i="1"/>
  <c r="G18" i="1"/>
  <c r="G9" i="1" l="1"/>
</calcChain>
</file>

<file path=xl/sharedStrings.xml><?xml version="1.0" encoding="utf-8"?>
<sst xmlns="http://schemas.openxmlformats.org/spreadsheetml/2006/main" count="90" uniqueCount="12">
  <si>
    <t>QoS Level 0</t>
  </si>
  <si>
    <t>Percobaan</t>
  </si>
  <si>
    <t>Throughput</t>
  </si>
  <si>
    <t>Delay</t>
  </si>
  <si>
    <t>Packet Loss</t>
  </si>
  <si>
    <t>Kbps</t>
  </si>
  <si>
    <t>ms</t>
  </si>
  <si>
    <t>%</t>
  </si>
  <si>
    <t>Rata-Rata</t>
  </si>
  <si>
    <t>QoS Level 1</t>
  </si>
  <si>
    <t>QoS Level 2</t>
  </si>
  <si>
    <t>Rata-Rata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</si>
</sst>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Throughput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QoS Level 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Sheet1!$J$4:$J$8</c:f>
              <c:numCache>
                <c:formatCode>General</c:formatCode>
                <c:ptCount val="5"/>
                <c:pt idx="0">
                  <c:v>1.5324708549999999</c:v>
                </c:pt>
                <c:pt idx="1">
                  <c:v>3.2788015189999999</c:v>
                </c:pt>
                <c:pt idx="2">
                  <c:v>3.5972010480000001</c:v>
                </c:pt>
                <c:pt idx="3">
                  <c:v>1.4764407829999999</c:v>
                </c:pt>
                <c:pt idx="4">
                  <c:v>1.483162453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67-4963-B59E-A3C247EB8E90}"/>
            </c:ext>
          </c:extLst>
        </c:ser>
        <c:ser>
          <c:idx val="1"/>
          <c:order val="1"/>
          <c:tx>
            <c:strRef>
              <c:f>Sheet1!$K$3</c:f>
              <c:strCache>
                <c:ptCount val="1"/>
                <c:pt idx="0">
                  <c:v>QoS Level 1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val>
            <c:numRef>
              <c:f>Sheet1!$K$4:$K$8</c:f>
              <c:numCache>
                <c:formatCode>General</c:formatCode>
                <c:ptCount val="5"/>
                <c:pt idx="0">
                  <c:v>2.62804847</c:v>
                </c:pt>
                <c:pt idx="1">
                  <c:v>2.4961226170000002</c:v>
                </c:pt>
                <c:pt idx="2">
                  <c:v>7.390541786</c:v>
                </c:pt>
                <c:pt idx="3">
                  <c:v>12.815404279999999</c:v>
                </c:pt>
                <c:pt idx="4">
                  <c:v>9.2618013819999998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67-4963-B59E-A3C247EB8E90}"/>
            </c:ext>
          </c:extLst>
        </c:ser>
        <c:ser>
          <c:idx val="2"/>
          <c:order val="2"/>
          <c:tx>
            <c:strRef>
              <c:f>Sheet1!$L$3</c:f>
              <c:strCache>
                <c:ptCount val="1"/>
                <c:pt idx="0">
                  <c:v>QoS Level 2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val>
            <c:numRef>
              <c:f>Sheet1!$L$4:$L$8</c:f>
              <c:numCache>
                <c:formatCode>General</c:formatCode>
                <c:ptCount val="5"/>
                <c:pt idx="0">
                  <c:v>6.6257320049999997</c:v>
                </c:pt>
                <c:pt idx="1">
                  <c:v>6.352936659</c:v>
                </c:pt>
                <c:pt idx="2">
                  <c:v>3.1959589369999999</c:v>
                </c:pt>
                <c:pt idx="3">
                  <c:v>4.5616563450000003</c:v>
                </c:pt>
                <c:pt idx="4">
                  <c:v>3.0510293960000001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67-4963-B59E-A3C247EB8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0421968"/>
        <c:axId val="550422928"/>
      </c:lineChart>
      <c:catAx>
        <c:axId val="550421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Percobaan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422928"/>
        <c:crosses val="autoZero"/>
        <c:auto val="1"/>
        <c:lblAlgn val="ctr"/>
        <c:lblOffset val="100"/>
        <c:noMultiLvlLbl val="0"/>
      </c:catAx>
      <c:valAx>
        <c:axId val="55042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Kbps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421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Sheet1!$J$19</c:f>
              <c:strCache>
                <c:ptCount val="1"/>
                <c:pt idx="0">
                  <c:v>QoS Level 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Sheet1!$J$20:$J$24</c:f>
              <c:numCache>
                <c:formatCode>General</c:formatCode>
                <c:ptCount val="5"/>
                <c:pt idx="0">
                  <c:v>333.50933329999998</c:v>
                </c:pt>
                <c:pt idx="1">
                  <c:v>317.72067040000002</c:v>
                </c:pt>
                <c:pt idx="2">
                  <c:v>294.03448279999998</c:v>
                </c:pt>
                <c:pt idx="3">
                  <c:v>347.30853660000002</c:v>
                </c:pt>
                <c:pt idx="4">
                  <c:v>353.59156630000001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65-4AFE-89CF-89225D7A3F55}"/>
            </c:ext>
          </c:extLst>
        </c:ser>
        <c:ser>
          <c:idx val="1"/>
          <c:order val="1"/>
          <c:tx>
            <c:strRef>
              <c:f>Sheet1!$K$19</c:f>
              <c:strCache>
                <c:ptCount val="1"/>
                <c:pt idx="0">
                  <c:v>QoS Level 1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val>
            <c:numRef>
              <c:f>Sheet1!$K$20:$K$24</c:f>
              <c:numCache>
                <c:formatCode>General</c:formatCode>
                <c:ptCount val="5"/>
                <c:pt idx="0">
                  <c:v>191.64648439999999</c:v>
                </c:pt>
                <c:pt idx="1">
                  <c:v>203.83614040000001</c:v>
                </c:pt>
                <c:pt idx="2">
                  <c:v>152.7657609</c:v>
                </c:pt>
                <c:pt idx="3">
                  <c:v>128.5263789</c:v>
                </c:pt>
                <c:pt idx="4">
                  <c:v>151.4075325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65-4AFE-89CF-89225D7A3F55}"/>
            </c:ext>
          </c:extLst>
        </c:ser>
        <c:ser>
          <c:idx val="2"/>
          <c:order val="2"/>
          <c:tx>
            <c:strRef>
              <c:f>Sheet1!$L$19</c:f>
              <c:strCache>
                <c:ptCount val="1"/>
                <c:pt idx="0">
                  <c:v>QoS Level 2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val>
            <c:numRef>
              <c:f>Sheet1!$L$20:$L$24</c:f>
              <c:numCache>
                <c:formatCode>General</c:formatCode>
                <c:ptCount val="5"/>
                <c:pt idx="0">
                  <c:v>115.4833703</c:v>
                </c:pt>
                <c:pt idx="1">
                  <c:v>128.91831680000001</c:v>
                </c:pt>
                <c:pt idx="2">
                  <c:v>154.04699450000001</c:v>
                </c:pt>
                <c:pt idx="3">
                  <c:v>146.00416670000001</c:v>
                </c:pt>
                <c:pt idx="4">
                  <c:v>161.47555560000001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65-4AFE-89CF-89225D7A3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1119648"/>
        <c:axId val="631124448"/>
      </c:lineChart>
      <c:catAx>
        <c:axId val="631119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Percobaan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124448"/>
        <c:crosses val="autoZero"/>
        <c:auto val="1"/>
        <c:lblAlgn val="ctr"/>
        <c:lblOffset val="100"/>
        <c:noMultiLvlLbl val="0"/>
      </c:catAx>
      <c:valAx>
        <c:axId val="6311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11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Perbandingan Rata-Rata Throughput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Sheet1!$V$9</c:f>
              <c:strCache>
                <c:ptCount val="1"/>
                <c:pt idx="0">
                  <c:v>Rata-Rata =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879-4DA4-A2BA-6DBA92AB63DB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879-4DA4-A2BA-6DBA92AB63DB}"/>
              </c:ext>
            </c:extLst>
          </c:dPt>
          <c:cat>
            <c:strRef>
              <c:f>Sheet1!$W$3:$Y$3</c:f>
              <c:strCache>
                <c:ptCount val="3"/>
                <c:pt idx="0">
                  <c:v>QoS Level 0</c:v>
                </c:pt>
                <c:pt idx="1">
                  <c:v>QoS Level 1</c:v>
                </c:pt>
                <c:pt idx="2">
                  <c:v>QoS Level 2</c:v>
                </c:pt>
              </c:strCache>
            </c:strRef>
          </c:cat>
          <c:val>
            <c:numRef>
              <c:f>Sheet1!$W$9:$Y$9</c:f>
              <c:numCache>
                <c:formatCode>General</c:formatCode>
                <c:ptCount val="3"/>
                <c:pt idx="0">
                  <c:v>2.2736153315999998</c:v>
                </c:pt>
                <c:pt idx="1">
                  <c:v>6.9183837069999994</c:v>
                </c:pt>
                <c:pt idx="2">
                  <c:v>4.7574626684000005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79-4DA4-A2BA-6DBA92AB6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2094256"/>
        <c:axId val="1772089936"/>
      </c:barChart>
      <c:catAx>
        <c:axId val="177209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089936"/>
        <c:crosses val="autoZero"/>
        <c:auto val="1"/>
        <c:lblAlgn val="ctr"/>
        <c:lblOffset val="100"/>
        <c:noMultiLvlLbl val="0"/>
      </c:catAx>
      <c:valAx>
        <c:axId val="177208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Kbps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094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Perbandingan Rata-Rata Delay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Sheet1!$V$25</c:f>
              <c:strCache>
                <c:ptCount val="1"/>
                <c:pt idx="0">
                  <c:v>Rata-Rata =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689-4C91-B8F6-434F2DB983D0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689-4C91-B8F6-434F2DB983D0}"/>
              </c:ext>
            </c:extLst>
          </c:dPt>
          <c:cat>
            <c:strRef>
              <c:f>Sheet1!$W$19:$Y$19</c:f>
              <c:strCache>
                <c:ptCount val="3"/>
                <c:pt idx="0">
                  <c:v>QoS Level 0</c:v>
                </c:pt>
                <c:pt idx="1">
                  <c:v>QoS Level 1</c:v>
                </c:pt>
                <c:pt idx="2">
                  <c:v>QoS Level 2</c:v>
                </c:pt>
              </c:strCache>
            </c:strRef>
          </c:cat>
          <c:val>
            <c:numRef>
              <c:f>Sheet1!$W$25:$Y$25</c:f>
              <c:numCache>
                <c:formatCode>General</c:formatCode>
                <c:ptCount val="3"/>
                <c:pt idx="0">
                  <c:v>329.23291788</c:v>
                </c:pt>
                <c:pt idx="1">
                  <c:v>165.63645941999999</c:v>
                </c:pt>
                <c:pt idx="2">
                  <c:v>141.18568078000001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89-4C91-B8F6-434F2DB98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7633248"/>
        <c:axId val="1657630848"/>
      </c:barChart>
      <c:catAx>
        <c:axId val="165763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630848"/>
        <c:crosses val="autoZero"/>
        <c:auto val="1"/>
        <c:lblAlgn val="ctr"/>
        <c:lblOffset val="100"/>
        <c:noMultiLvlLbl val="0"/>
      </c:catAx>
      <c:valAx>
        <c:axId val="165763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63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7620</xdr:colOff>
      <xdr:row>2</xdr:row>
      <xdr:rowOff>0</xdr:rowOff>
    </xdr:from>
    <xdr:to>
      <xdr:col>20</xdr:col>
      <xdr:colOff>312420</xdr:colOff>
      <xdr:row>17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32AB78B-6367-CD20-9ECE-302B6C9B71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7620</xdr:colOff>
      <xdr:row>18</xdr:row>
      <xdr:rowOff>7620</xdr:rowOff>
    </xdr:from>
    <xdr:to>
      <xdr:col>20</xdr:col>
      <xdr:colOff>312420</xdr:colOff>
      <xdr:row>33</xdr:row>
      <xdr:rowOff>7620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6AFE850-9C67-77D8-C18C-08E592BE32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606942</xdr:colOff>
      <xdr:row>1</xdr:row>
      <xdr:rowOff>183411</xdr:rowOff>
    </xdr:from>
    <xdr:to>
      <xdr:col>33</xdr:col>
      <xdr:colOff>287965</xdr:colOff>
      <xdr:row>16</xdr:row>
      <xdr:rowOff>135565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67005D-2717-F100-9AF7-7D79ED52C8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4430</xdr:colOff>
      <xdr:row>18</xdr:row>
      <xdr:rowOff>6202</xdr:rowOff>
    </xdr:from>
    <xdr:to>
      <xdr:col>33</xdr:col>
      <xdr:colOff>296825</xdr:colOff>
      <xdr:row>32</xdr:row>
      <xdr:rowOff>144425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546D89-6E96-0FB7-2AE0-5C2D28560A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4B84A-952F-4197-992F-1A7AC972F6A6}">
  <dimension ref="B2:Y27"/>
  <sheetViews>
    <sheetView tabSelected="1" zoomScale="85" zoomScaleNormal="85" workbookViewId="0">
      <selection activeCell="J11" sqref="J11"/>
    </sheetView>
  </sheetViews>
  <sheetFormatPr defaultRowHeight="14.4" x14ac:dyDescent="0.3"/>
  <cols>
    <col min="2" max="2" width="10.6640625" bestFit="1" customWidth="1"/>
    <col min="3" max="3" width="12" bestFit="1" customWidth="1"/>
    <col min="4" max="4" width="5.109375" bestFit="1" customWidth="1"/>
    <col min="5" max="5" width="12" bestFit="1" customWidth="1"/>
    <col min="6" max="6" width="3.44140625" bestFit="1" customWidth="1"/>
    <col min="7" max="7" width="10.6640625" bestFit="1" customWidth="1"/>
    <col min="8" max="8" width="2.44140625" bestFit="1" customWidth="1"/>
    <col min="10" max="10" width="16.44140625" bestFit="1" customWidth="1"/>
    <col min="11" max="12" width="12" bestFit="1" customWidth="1"/>
    <col min="22" max="22" width="11.109375" bestFit="1" customWidth="1"/>
    <col min="23" max="25" width="12.21875" bestFit="1" customWidth="1"/>
  </cols>
  <sheetData>
    <row r="2" spans="2:25" x14ac:dyDescent="0.3">
      <c r="B2" s="1" t="s">
        <v>0</v>
      </c>
      <c r="C2" s="2"/>
      <c r="J2" s="3" t="s">
        <v>2</v>
      </c>
      <c r="W2" s="3" t="s">
        <v>2</v>
      </c>
    </row>
    <row r="3" spans="2:25" x14ac:dyDescent="0.3">
      <c r="B3" s="3" t="s">
        <v>1</v>
      </c>
      <c r="C3" s="3" t="s">
        <v>2</v>
      </c>
      <c r="E3" s="3" t="s">
        <v>3</v>
      </c>
      <c r="G3" s="3" t="s">
        <v>4</v>
      </c>
      <c r="J3" s="3" t="s">
        <v>0</v>
      </c>
      <c r="K3" s="3" t="s">
        <v>9</v>
      </c>
      <c r="L3" s="3" t="s">
        <v>10</v>
      </c>
      <c r="W3" s="3" t="s">
        <v>0</v>
      </c>
      <c r="X3" s="3" t="s">
        <v>9</v>
      </c>
      <c r="Y3" s="3" t="s">
        <v>10</v>
      </c>
    </row>
    <row r="4" spans="2:25" x14ac:dyDescent="0.3">
      <c r="B4" s="2">
        <v>1</v>
      </c>
      <c r="C4" s="2">
        <v>1.5324708549999999</v>
      </c>
      <c r="D4" s="2" t="s">
        <v>5</v>
      </c>
      <c r="E4" s="2">
        <v>333.50933329999998</v>
      </c>
      <c r="F4" s="2" t="s">
        <v>6</v>
      </c>
      <c r="G4" s="2">
        <v>0</v>
      </c>
      <c r="H4" s="2" t="s">
        <v>7</v>
      </c>
      <c r="J4" s="2">
        <v>1.5324708549999999</v>
      </c>
      <c r="K4" s="2">
        <v>2.62804847</v>
      </c>
      <c r="L4" s="2">
        <v>6.6257320049999997</v>
      </c>
      <c r="W4" s="2">
        <v>1.5324708549999999</v>
      </c>
      <c r="X4" s="2">
        <v>2.62804847</v>
      </c>
      <c r="Y4" s="2">
        <v>6.6257320049999997</v>
      </c>
    </row>
    <row r="5" spans="2:25" x14ac:dyDescent="0.3">
      <c r="B5" s="2">
        <v>2</v>
      </c>
      <c r="C5" s="2">
        <v>3.2788015189999999</v>
      </c>
      <c r="D5" s="2" t="s">
        <v>5</v>
      </c>
      <c r="E5" s="2">
        <v>317.72067040000002</v>
      </c>
      <c r="F5" s="2" t="s">
        <v>6</v>
      </c>
      <c r="G5" s="2">
        <v>0</v>
      </c>
      <c r="H5" s="2" t="s">
        <v>7</v>
      </c>
      <c r="J5" s="2">
        <v>3.2788015189999999</v>
      </c>
      <c r="K5" s="2">
        <v>2.4961226170000002</v>
      </c>
      <c r="L5" s="2">
        <v>6.352936659</v>
      </c>
      <c r="W5" s="2">
        <v>3.2788015189999999</v>
      </c>
      <c r="X5" s="2">
        <v>2.4961226170000002</v>
      </c>
      <c r="Y5" s="2">
        <v>6.352936659</v>
      </c>
    </row>
    <row r="6" spans="2:25" x14ac:dyDescent="0.3">
      <c r="B6" s="2">
        <v>3</v>
      </c>
      <c r="C6" s="2">
        <v>3.5972010480000001</v>
      </c>
      <c r="D6" s="2" t="s">
        <v>5</v>
      </c>
      <c r="E6" s="2">
        <v>294.03448279999998</v>
      </c>
      <c r="F6" s="2" t="s">
        <v>6</v>
      </c>
      <c r="G6" s="2">
        <v>0</v>
      </c>
      <c r="H6" s="2" t="s">
        <v>7</v>
      </c>
      <c r="J6" s="2">
        <v>3.5972010480000001</v>
      </c>
      <c r="K6" s="2">
        <v>7.390541786</v>
      </c>
      <c r="L6" s="2">
        <v>3.1959589369999999</v>
      </c>
      <c r="W6" s="2">
        <v>3.5972010480000001</v>
      </c>
      <c r="X6" s="2">
        <v>7.390541786</v>
      </c>
      <c r="Y6" s="2">
        <v>3.1959589369999999</v>
      </c>
    </row>
    <row r="7" spans="2:25" x14ac:dyDescent="0.3">
      <c r="B7" s="2">
        <v>4</v>
      </c>
      <c r="C7" s="2">
        <v>1.4764407829999999</v>
      </c>
      <c r="D7" s="2" t="s">
        <v>5</v>
      </c>
      <c r="E7" s="2">
        <v>347.30853660000002</v>
      </c>
      <c r="F7" s="2" t="s">
        <v>6</v>
      </c>
      <c r="G7" s="2">
        <v>0</v>
      </c>
      <c r="H7" s="2" t="s">
        <v>7</v>
      </c>
      <c r="J7" s="2">
        <v>1.4764407829999999</v>
      </c>
      <c r="K7" s="2">
        <v>12.815404279999999</v>
      </c>
      <c r="L7" s="2">
        <v>4.5616563450000003</v>
      </c>
      <c r="W7" s="2">
        <v>1.4764407829999999</v>
      </c>
      <c r="X7" s="2">
        <v>12.815404279999999</v>
      </c>
      <c r="Y7" s="2">
        <v>4.5616563450000003</v>
      </c>
    </row>
    <row r="8" spans="2:25" x14ac:dyDescent="0.3">
      <c r="B8" s="2">
        <v>5</v>
      </c>
      <c r="C8" s="2">
        <v>1.483162453</v>
      </c>
      <c r="D8" s="2" t="s">
        <v>5</v>
      </c>
      <c r="E8" s="2">
        <v>353.59156630000001</v>
      </c>
      <c r="F8" s="2" t="s">
        <v>6</v>
      </c>
      <c r="G8" s="2">
        <v>0</v>
      </c>
      <c r="H8" s="2" t="s">
        <v>7</v>
      </c>
      <c r="J8" s="2">
        <v>1.483162453</v>
      </c>
      <c r="K8" s="2">
        <v>9.2618013819999998</v>
      </c>
      <c r="L8" s="2">
        <v>3.0510293960000001</v>
      </c>
      <c r="W8" s="2">
        <v>1.483162453</v>
      </c>
      <c r="X8" s="2">
        <v>9.2618013819999998</v>
      </c>
      <c r="Y8" s="2">
        <v>3.0510293960000001</v>
      </c>
    </row>
    <row r="9" spans="2:25" x14ac:dyDescent="0.3">
      <c r="B9" s="1" t="s">
        <v>8</v>
      </c>
      <c r="C9" s="1">
        <f>AVERAGE(C4:C8)</f>
        <v>2.2736153315999998</v>
      </c>
      <c r="D9" s="1" t="s">
        <v>5</v>
      </c>
      <c r="E9" s="1">
        <f>AVERAGE(E4:E8)</f>
        <v>329.23291788</v>
      </c>
      <c r="F9" s="1" t="s">
        <v>6</v>
      </c>
      <c r="G9" s="1">
        <f>AVERAGE(G4:G8)</f>
        <v>0</v>
      </c>
      <c r="H9" s="1" t="s">
        <v>7</v>
      </c>
      <c r="V9" s="4" t="s">
        <v>11</v>
      </c>
      <c r="W9" s="5">
        <f>AVERAGE(W4:W8)</f>
        <v>2.2736153315999998</v>
      </c>
      <c r="X9" s="5">
        <f>AVERAGE(X4:X8)</f>
        <v>6.9183837069999994</v>
      </c>
      <c r="Y9" s="5">
        <f>AVERAGE(Y4:Y8)</f>
        <v>4.7574626684000005</v>
      </c>
    </row>
    <row r="11" spans="2:25" x14ac:dyDescent="0.3">
      <c r="B11" s="1" t="s">
        <v>9</v>
      </c>
      <c r="C11" s="2"/>
    </row>
    <row r="12" spans="2:25" x14ac:dyDescent="0.3">
      <c r="B12" s="3" t="s">
        <v>1</v>
      </c>
      <c r="C12" s="3" t="s">
        <v>2</v>
      </c>
      <c r="E12" s="3" t="s">
        <v>3</v>
      </c>
      <c r="G12" s="3" t="s">
        <v>4</v>
      </c>
    </row>
    <row r="13" spans="2:25" x14ac:dyDescent="0.3">
      <c r="B13" s="2">
        <v>1</v>
      </c>
      <c r="C13" s="2">
        <v>2.62804847</v>
      </c>
      <c r="D13" s="2" t="s">
        <v>5</v>
      </c>
      <c r="E13" s="2">
        <v>191.64648439999999</v>
      </c>
      <c r="F13" s="2" t="s">
        <v>6</v>
      </c>
      <c r="G13" s="2">
        <v>0</v>
      </c>
      <c r="H13" s="2" t="s">
        <v>7</v>
      </c>
    </row>
    <row r="14" spans="2:25" x14ac:dyDescent="0.3">
      <c r="B14" s="2">
        <v>2</v>
      </c>
      <c r="C14" s="2">
        <v>2.4961226170000002</v>
      </c>
      <c r="D14" s="2" t="s">
        <v>5</v>
      </c>
      <c r="E14" s="2">
        <v>203.83614040000001</v>
      </c>
      <c r="F14" s="2" t="s">
        <v>6</v>
      </c>
      <c r="G14" s="2">
        <v>0</v>
      </c>
      <c r="H14" s="2" t="s">
        <v>7</v>
      </c>
    </row>
    <row r="15" spans="2:25" x14ac:dyDescent="0.3">
      <c r="B15" s="2">
        <v>3</v>
      </c>
      <c r="C15" s="2">
        <v>7.390541786</v>
      </c>
      <c r="D15" s="2" t="s">
        <v>5</v>
      </c>
      <c r="E15" s="2">
        <v>152.7657609</v>
      </c>
      <c r="F15" s="2" t="s">
        <v>6</v>
      </c>
      <c r="G15" s="2">
        <v>0</v>
      </c>
      <c r="H15" s="2" t="s">
        <v>7</v>
      </c>
    </row>
    <row r="16" spans="2:25" x14ac:dyDescent="0.3">
      <c r="B16" s="2">
        <v>4</v>
      </c>
      <c r="C16" s="2">
        <v>12.815404279999999</v>
      </c>
      <c r="D16" s="2" t="s">
        <v>5</v>
      </c>
      <c r="E16" s="2">
        <v>128.5263789</v>
      </c>
      <c r="F16" s="2" t="s">
        <v>6</v>
      </c>
      <c r="G16" s="2">
        <v>0</v>
      </c>
      <c r="H16" s="2" t="s">
        <v>7</v>
      </c>
    </row>
    <row r="17" spans="2:25" x14ac:dyDescent="0.3">
      <c r="B17" s="2">
        <v>5</v>
      </c>
      <c r="C17" s="2">
        <v>9.2618013819999998</v>
      </c>
      <c r="D17" s="2" t="s">
        <v>5</v>
      </c>
      <c r="E17" s="2">
        <v>151.4075325</v>
      </c>
      <c r="F17" s="2" t="s">
        <v>6</v>
      </c>
      <c r="G17" s="2">
        <v>0</v>
      </c>
      <c r="H17" s="2" t="s">
        <v>7</v>
      </c>
    </row>
    <row r="18" spans="2:25" x14ac:dyDescent="0.3">
      <c r="B18" s="1" t="s">
        <v>8</v>
      </c>
      <c r="C18" s="1">
        <f>AVERAGE(C13:C17)</f>
        <v>6.9183837069999994</v>
      </c>
      <c r="D18" s="1" t="s">
        <v>5</v>
      </c>
      <c r="E18" s="1">
        <f>AVERAGE(E13:E17)</f>
        <v>165.63645941999999</v>
      </c>
      <c r="F18" s="1" t="s">
        <v>6</v>
      </c>
      <c r="G18" s="1">
        <f>AVERAGE(G13:G17)</f>
        <v>0</v>
      </c>
      <c r="H18" s="1" t="s">
        <v>7</v>
      </c>
      <c r="J18" s="3" t="s">
        <v>3</v>
      </c>
      <c r="W18" s="3" t="s">
        <v>3</v>
      </c>
    </row>
    <row r="19" spans="2:25" x14ac:dyDescent="0.3">
      <c r="J19" s="3" t="s">
        <v>0</v>
      </c>
      <c r="K19" s="3" t="s">
        <v>9</v>
      </c>
      <c r="L19" s="3" t="s">
        <v>10</v>
      </c>
      <c r="W19" s="3" t="s">
        <v>0</v>
      </c>
      <c r="X19" s="3" t="s">
        <v>9</v>
      </c>
      <c r="Y19" s="3" t="s">
        <v>10</v>
      </c>
    </row>
    <row r="20" spans="2:25" x14ac:dyDescent="0.3">
      <c r="B20" s="1" t="s">
        <v>10</v>
      </c>
      <c r="C20" s="2"/>
      <c r="J20" s="2">
        <v>333.50933329999998</v>
      </c>
      <c r="K20" s="2">
        <v>191.64648439999999</v>
      </c>
      <c r="L20" s="2">
        <v>115.4833703</v>
      </c>
      <c r="W20" s="2">
        <v>333.50933329999998</v>
      </c>
      <c r="X20" s="2">
        <v>191.64648439999999</v>
      </c>
      <c r="Y20" s="2">
        <v>115.4833703</v>
      </c>
    </row>
    <row r="21" spans="2:25" x14ac:dyDescent="0.3">
      <c r="B21" s="3" t="s">
        <v>1</v>
      </c>
      <c r="C21" s="3" t="s">
        <v>2</v>
      </c>
      <c r="E21" s="3" t="s">
        <v>3</v>
      </c>
      <c r="G21" s="3" t="s">
        <v>4</v>
      </c>
      <c r="J21" s="2">
        <v>317.72067040000002</v>
      </c>
      <c r="K21" s="2">
        <v>203.83614040000001</v>
      </c>
      <c r="L21" s="2">
        <v>128.91831680000001</v>
      </c>
      <c r="W21" s="2">
        <v>317.72067040000002</v>
      </c>
      <c r="X21" s="2">
        <v>203.83614040000001</v>
      </c>
      <c r="Y21" s="2">
        <v>128.91831680000001</v>
      </c>
    </row>
    <row r="22" spans="2:25" x14ac:dyDescent="0.3">
      <c r="B22" s="2">
        <v>1</v>
      </c>
      <c r="C22" s="2">
        <v>6.6257320049999997</v>
      </c>
      <c r="D22" s="2" t="s">
        <v>5</v>
      </c>
      <c r="E22" s="2">
        <v>115.4833703</v>
      </c>
      <c r="F22" s="2" t="s">
        <v>6</v>
      </c>
      <c r="G22" s="2">
        <v>0</v>
      </c>
      <c r="H22" s="2" t="s">
        <v>7</v>
      </c>
      <c r="J22" s="2">
        <v>294.03448279999998</v>
      </c>
      <c r="K22" s="2">
        <v>152.7657609</v>
      </c>
      <c r="L22" s="2">
        <v>154.04699450000001</v>
      </c>
      <c r="W22" s="2">
        <v>294.03448279999998</v>
      </c>
      <c r="X22" s="2">
        <v>152.7657609</v>
      </c>
      <c r="Y22" s="2">
        <v>154.04699450000001</v>
      </c>
    </row>
    <row r="23" spans="2:25" x14ac:dyDescent="0.3">
      <c r="B23" s="2">
        <v>2</v>
      </c>
      <c r="C23" s="2">
        <v>6.352936659</v>
      </c>
      <c r="D23" s="2" t="s">
        <v>5</v>
      </c>
      <c r="E23" s="2">
        <v>128.91831680000001</v>
      </c>
      <c r="F23" s="2" t="s">
        <v>6</v>
      </c>
      <c r="G23" s="2">
        <v>0</v>
      </c>
      <c r="H23" s="2" t="s">
        <v>7</v>
      </c>
      <c r="J23" s="2">
        <v>347.30853660000002</v>
      </c>
      <c r="K23" s="2">
        <v>128.5263789</v>
      </c>
      <c r="L23" s="2">
        <v>146.00416670000001</v>
      </c>
      <c r="W23" s="2">
        <v>347.30853660000002</v>
      </c>
      <c r="X23" s="2">
        <v>128.5263789</v>
      </c>
      <c r="Y23" s="2">
        <v>146.00416670000001</v>
      </c>
    </row>
    <row r="24" spans="2:25" x14ac:dyDescent="0.3">
      <c r="B24" s="2">
        <v>3</v>
      </c>
      <c r="C24" s="2">
        <v>3.1959589369999999</v>
      </c>
      <c r="D24" s="2" t="s">
        <v>5</v>
      </c>
      <c r="E24" s="2">
        <v>154.04699450000001</v>
      </c>
      <c r="F24" s="2" t="s">
        <v>6</v>
      </c>
      <c r="G24" s="2">
        <v>0</v>
      </c>
      <c r="H24" s="2" t="s">
        <v>7</v>
      </c>
      <c r="J24" s="2">
        <v>353.59156630000001</v>
      </c>
      <c r="K24" s="2">
        <v>151.4075325</v>
      </c>
      <c r="L24" s="2">
        <v>161.47555560000001</v>
      </c>
      <c r="W24" s="2">
        <v>353.59156630000001</v>
      </c>
      <c r="X24" s="2">
        <v>151.4075325</v>
      </c>
      <c r="Y24" s="2">
        <v>161.47555560000001</v>
      </c>
    </row>
    <row r="25" spans="2:25" x14ac:dyDescent="0.3">
      <c r="B25" s="2">
        <v>4</v>
      </c>
      <c r="C25" s="2">
        <v>4.5616563450000003</v>
      </c>
      <c r="D25" s="2" t="s">
        <v>5</v>
      </c>
      <c r="E25" s="2">
        <v>146.00416670000001</v>
      </c>
      <c r="F25" s="2" t="s">
        <v>6</v>
      </c>
      <c r="G25" s="2">
        <v>0</v>
      </c>
      <c r="H25" s="2" t="s">
        <v>7</v>
      </c>
      <c r="V25" s="4" t="s">
        <v>11</v>
      </c>
      <c r="W25" s="5">
        <f>AVERAGE(W20:W24)</f>
        <v>329.23291788</v>
      </c>
      <c r="X25" s="5">
        <f>AVERAGE(X20:X24)</f>
        <v>165.63645941999999</v>
      </c>
      <c r="Y25" s="5">
        <f>AVERAGE(Y20:Y24)</f>
        <v>141.18568078000001</v>
      </c>
    </row>
    <row r="26" spans="2:25" x14ac:dyDescent="0.3">
      <c r="B26" s="2">
        <v>5</v>
      </c>
      <c r="C26" s="2">
        <v>3.0510293960000001</v>
      </c>
      <c r="D26" s="2" t="s">
        <v>5</v>
      </c>
      <c r="E26" s="2">
        <v>161.47555560000001</v>
      </c>
      <c r="F26" s="2" t="s">
        <v>6</v>
      </c>
      <c r="G26" s="2">
        <v>0</v>
      </c>
      <c r="H26" s="2" t="s">
        <v>7</v>
      </c>
    </row>
    <row r="27" spans="2:25" x14ac:dyDescent="0.3">
      <c r="B27" s="1" t="s">
        <v>8</v>
      </c>
      <c r="C27" s="1">
        <f>AVERAGE(C22:C26)</f>
        <v>4.7574626684000005</v>
      </c>
      <c r="D27" s="1" t="s">
        <v>5</v>
      </c>
      <c r="E27" s="1">
        <f>AVERAGE(E22:E26)</f>
        <v>141.18568078000001</v>
      </c>
      <c r="F27" s="1" t="s">
        <v>6</v>
      </c>
      <c r="G27" s="1">
        <f>AVERAGE(G22:G26)</f>
        <v>0</v>
      </c>
      <c r="H27" s="1" t="s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2025-03-05T16:22:17Z</dcterms:created>
  <dcterms:modified xsi:type="dcterms:W3CDTF">2025-04-30T08:40:58Z</dcterms:modified>
</cp:coreProperties>
</file>