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Alur Kerja Smode\Percobaan 20x\Excel\"/>
    </mc:Choice>
  </mc:AlternateContent>
  <xr:revisionPtr revIDLastSave="0" documentId="13_ncr:1_{312E70B8-10B7-4F5C-B7F8-9E1C473F234D}" xr6:coauthVersionLast="47" xr6:coauthVersionMax="47" xr10:uidLastSave="{00000000-0000-0000-0000-000000000000}"/>
  <bookViews>
    <workbookView xWindow="-108" yWindow="-108" windowWidth="23256" windowHeight="13176" xr2:uid="{241B61EA-74BC-4557-BB71-389EBA850167}"/>
  </bookViews>
  <sheets>
    <sheet name="percobaan 2" sheetId="1" r:id="rId1"/>
  </sheets>
  <calcPr calcId="191029"/>
</workbook>
</file>

<file path=xl/calcChain.xml><?xml version="1.0" encoding="utf-8"?>
<calcChain xmlns="http://schemas.openxmlformats.org/spreadsheetml/2006/main">
  <c r="J664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3" i="1"/>
  <c r="J654" i="1" s="1"/>
  <c r="J658" i="1" l="1"/>
  <c r="J659" i="1" s="1"/>
  <c r="J660" i="1" s="1"/>
  <c r="L654" i="1"/>
  <c r="L655" i="1" s="1"/>
</calcChain>
</file>

<file path=xl/sharedStrings.xml><?xml version="1.0" encoding="utf-8"?>
<sst xmlns="http://schemas.openxmlformats.org/spreadsheetml/2006/main" count="2628" uniqueCount="502">
  <si>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</si>
  <si>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</si>
  <si>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</si>
  <si>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</si>
  <si>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</si>
  <si>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</si>
  <si>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</si>
  <si>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</si>
  <si>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</si>
  <si>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172.17.16.240</t>
  </si>
  <si>
    <t>TCP</t>
  </si>
  <si>
    <t>59375  &gt;  7680 [SYN] Seq=0 Win=64240 Len=0 MSS=1460 WS=256 SACK_PERM</t>
  </si>
  <si>
    <t>172.17.2.37</t>
  </si>
  <si>
    <t>59376  &gt;  7680 [SYN] Seq=0 Win=64240 Len=0 MSS=1460 WS=256 SACK_PERM</t>
  </si>
  <si>
    <t>172.17.19.168</t>
  </si>
  <si>
    <t>59377  &gt;  7680 [SYN] Seq=0 Win=64240 Len=0 MSS=1460 WS=256 SACK_PERM</t>
  </si>
  <si>
    <t>[TCP Retransmission] 59375  &gt;  7680 [SYN] Seq=0 Win=64240 Len=0 MSS=1460 WS=256 SACK_PERM</t>
  </si>
  <si>
    <t>[TCP Retransmission] 59376  &gt;  7680 [SYN] Seq=0 Win=64240 Len=0 MSS=1460 WS=256 SACK_PERM</t>
  </si>
  <si>
    <t>[TCP Retransmission] 59377  &gt;  7680 [SYN] Seq=0 Win=64240 Len=0 MSS=1460 WS=256 SACK_PERM</t>
  </si>
  <si>
    <t>104.16.185.241</t>
  </si>
  <si>
    <t>TLSv1.2</t>
  </si>
  <si>
    <t>Application Data</t>
  </si>
  <si>
    <t>443  &gt;  58230 [ACK] Seq=1 Ack=52 Win=9 Len=0</t>
  </si>
  <si>
    <t>58230  &gt;  443 [ACK] Seq=52 Ack=127 Win=514 Len=0</t>
  </si>
  <si>
    <t>20.198.119.143</t>
  </si>
  <si>
    <t>192.168.2.4</t>
  </si>
  <si>
    <t>59381  &gt;  1883 [SYN] Seq=0 Win=64240 Len=0 MSS=1460 WS=256 SACK_PERM</t>
  </si>
  <si>
    <t>1883  &gt;  59381 [SYN, ACK] Seq=0 Ack=1 Win=64240 Len=0 MSS=1460 SACK_PERM WS=128</t>
  </si>
  <si>
    <t>59381  &gt;  1883 [ACK] Seq=1 Ack=1 Win=1051136 Len=0</t>
  </si>
  <si>
    <t>443  &gt;  58230 [ACK] Seq=158 Ack=87 Win=9 Len=0</t>
  </si>
  <si>
    <t>MQTT</t>
  </si>
  <si>
    <t>Connect Command</t>
  </si>
  <si>
    <t>1883  &gt;  59381 [ACK] Seq=1 Ack=55 Win=64256 Len=0</t>
  </si>
  <si>
    <t>Connect Ack</t>
  </si>
  <si>
    <t>Subscribe Request (id=1) [vehicle/deteksi/1]</t>
  </si>
  <si>
    <t>Subscribe Ack (id=1)</t>
  </si>
  <si>
    <t>Subscribe Request (id=2) [vehicle/mesin/1], Subscribe Request (id=3) [vehicle/aman/1]</t>
  </si>
  <si>
    <t>Subscribe Ack (id=2)</t>
  </si>
  <si>
    <t>Subscribe Ack (id=3)</t>
  </si>
  <si>
    <t>59381  &gt;  1883 [ACK] Seq=122 Ack=20 Win=1051136 Len=0</t>
  </si>
  <si>
    <t>49628  &gt;  443 [ACK] Seq=100 Ack=170 Win=514 Len=0</t>
  </si>
  <si>
    <t>13.89.178.26</t>
  </si>
  <si>
    <t>59382  &gt;  443 [SYN] Seq=0 Win=64240 Len=0 MSS=1460 WS=256 SACK_PERM</t>
  </si>
  <si>
    <t>443  &gt;  59382 [SYN, ACK] Seq=0 Ack=1 Win=65535 Len=0 MSS=1440 WS=256 SACK_PERM</t>
  </si>
  <si>
    <t>59382  &gt;  443 [ACK] Seq=1 Ack=1 Win=132352 Len=0</t>
  </si>
  <si>
    <t>TLSv1.3</t>
  </si>
  <si>
    <t>Client Hello (SNI=mobile.events.data.microsoft.com)</t>
  </si>
  <si>
    <t>10.10.200.223</t>
  </si>
  <si>
    <t>59368  &gt;  80 [SYN] Seq=0 Win=64240 Len=0 MSS=1460 WS=256 SACK_PERM</t>
  </si>
  <si>
    <t>443  &gt;  59382 [ACK] Seq=1 Ack=1838 Win=4194560 Len=0</t>
  </si>
  <si>
    <t>Hello Retry Request, Change Cipher Spec</t>
  </si>
  <si>
    <t>Change Cipher Spec, Client Hello (SNI=mobile.events.data.microsoft.com)</t>
  </si>
  <si>
    <t>13.107.226.254</t>
  </si>
  <si>
    <t>Encrypted Alert</t>
  </si>
  <si>
    <t>443  &gt;  59274 [FIN, ACK] Seq=32 Ack=1 Win=83 Len=0</t>
  </si>
  <si>
    <t>59274  &gt;  443 [ACK] Seq=1 Ack=33 Win=1020 Len=0</t>
  </si>
  <si>
    <t>Server Hello</t>
  </si>
  <si>
    <t>443  &gt;  59382 [ACK] Seq=1560 Ack=2521 Win=4193792 Len=1460 [TCP PDU reassembled in 55]</t>
  </si>
  <si>
    <t>443  &gt;  59382 [ACK] Seq=3020 Ack=2521 Win=4193792 Len=1460 [TCP PDU reassembled in 55]</t>
  </si>
  <si>
    <t>443  &gt;  59382 [ACK] Seq=4480 Ack=2521 Win=4193792 Len=1460 [TCP PDU reassembled in 55]</t>
  </si>
  <si>
    <t>59382  &gt;  443 [ACK] Seq=2521 Ack=6506 Win=132352 Len=0</t>
  </si>
  <si>
    <t>443  &gt;  59382 [ACK] Seq=6506 Ack=2687 Win=4193536 Len=0</t>
  </si>
  <si>
    <t>59382  &gt;  443 [ACK] Seq=9267 Ack=6671 Win=132096 Len=0</t>
  </si>
  <si>
    <t>443  &gt;  59382 [ACK] Seq=6702 Ack=4617 Win=4194560 Len=0</t>
  </si>
  <si>
    <t>443  &gt;  59382 [ACK] Seq=6702 Ack=6057 Win=4193024 Len=0</t>
  </si>
  <si>
    <t>443  &gt;  59382 [ACK] Seq=6702 Ack=7497 Win=4194560 Len=0</t>
  </si>
  <si>
    <t>443  &gt;  59382 [ACK] Seq=6702 Ack=8937 Win=4193024 Len=0</t>
  </si>
  <si>
    <t>443  &gt;  59382 [ACK] Seq=6702 Ack=9267 Win=4194560 Len=0</t>
  </si>
  <si>
    <t>59382  &gt;  443 [ACK] Seq=9298 Ack=6983 Win=131840 Len=0</t>
  </si>
  <si>
    <t>172.17.16.112</t>
  </si>
  <si>
    <t>59385  &gt;  7680 [SYN] Seq=0 Win=64240 Len=0 MSS=1460 WS=256 SACK_PERM</t>
  </si>
  <si>
    <t>[TCP Retransmission] 59385  &gt;  7680 [SYN] Seq=0 Win=64240 Len=0 MSS=1460 WS=256 SACK_PERM</t>
  </si>
  <si>
    <t>443  &gt;  58230 [ACK] Seq=158 Ack=138 Win=9 Len=0</t>
  </si>
  <si>
    <t>58230  &gt;  443 [ACK] Seq=138 Ack=284 Win=513 Len=0</t>
  </si>
  <si>
    <t>443  &gt;  58230 [ACK] Seq=315 Ack=173 Win=9 Len=0</t>
  </si>
  <si>
    <t>Publish Message (id=1) [vehicle/aman/1]</t>
  </si>
  <si>
    <t>Publish Ack (id=1)</t>
  </si>
  <si>
    <t>74.125.68.95</t>
  </si>
  <si>
    <t>59390  &gt;  443 [SYN] Seq=0 Win=64240 Len=0 MSS=1460 WS=256 SACK_PERM</t>
  </si>
  <si>
    <t>443  &gt;  59390 [SYN, ACK] Seq=0 Ack=1 Win=65535 Len=0 MSS=1412 SACK_PERM WS=256</t>
  </si>
  <si>
    <t>59390  &gt;  443 [ACK] Seq=1 Ack=1 Win=131072 Len=0</t>
  </si>
  <si>
    <t>Client Hello (SNI=oauth2.googleapis.com)</t>
  </si>
  <si>
    <t>1883  &gt;  59381 [ACK] Seq=41 Ack=126 Win=64256 Len=0</t>
  </si>
  <si>
    <t>443  &gt;  59390 [ACK] Seq=1 Ack=518 Win=269312 Len=0</t>
  </si>
  <si>
    <t>Server Hello, Change Cipher Spec</t>
  </si>
  <si>
    <t>443  &gt;  59390 [PSH, ACK] Seq=1413 Ack=518 Win=269312 Len=1412 [TCP PDU reassembled in 112]</t>
  </si>
  <si>
    <t>59390  &gt;  443 [ACK] Seq=518 Ack=2825 Win=131072 Len=0</t>
  </si>
  <si>
    <t>443  &gt;  59390 [ACK] Seq=2825 Ack=518 Win=269312 Len=1412 [TCP PDU reassembled in 112]</t>
  </si>
  <si>
    <t>59390  &gt;  443 [ACK] Seq=518 Ack=4512 Win=131072 Len=0</t>
  </si>
  <si>
    <t>Change Cipher Spec, Application Data</t>
  </si>
  <si>
    <t>Application Data, Application Data</t>
  </si>
  <si>
    <t>59390  &gt;  443 [ACK] Seq=1574 Ack=5191 Win=130560 Len=0</t>
  </si>
  <si>
    <t>443  &gt;  59390 [ACK] Seq=5191 Ack=1574 Win=268544 Len=0</t>
  </si>
  <si>
    <t>59390  &gt;  443 [ACK] Seq=1605 Ack=6594 Win=131072 Len=0</t>
  </si>
  <si>
    <t>59390  &gt;  443 [FIN, ACK] Seq=1668 Ack=6594 Win=131072 Len=0</t>
  </si>
  <si>
    <t>216.239.38.57</t>
  </si>
  <si>
    <t>59393  &gt;  443 [SYN] Seq=0 Win=64240 Len=0 MSS=1460 WS=256 SACK_PERM</t>
  </si>
  <si>
    <t>443  &gt;  59390 [ACK] Seq=6594 Ack=1605 Win=268544 Len=0</t>
  </si>
  <si>
    <t>443  &gt;  59390 [ACK] Seq=6594 Ack=1644 Win=268544 Len=0</t>
  </si>
  <si>
    <t>443  &gt;  59390 [ACK] Seq=6594 Ack=1668 Win=268544 Len=0</t>
  </si>
  <si>
    <t>[TCP Previous segment not captured] 443  &gt;  59390 [ACK] Seq=6595 Ack=1669 Win=268544 Len=0</t>
  </si>
  <si>
    <t>[TCP Out-Of-Order] 443  &gt;  59390 [FIN, ACK] Seq=6594 Ack=1668 Win=268544 Len=0</t>
  </si>
  <si>
    <t>59390  &gt;  443 [ACK] Seq=1669 Ack=6595 Win=131072 Len=0</t>
  </si>
  <si>
    <t>443  &gt;  59393 [SYN, ACK] Seq=0 Ack=1 Win=65535 Len=0 MSS=1412 SACK_PERM WS=256</t>
  </si>
  <si>
    <t>59393  &gt;  443 [ACK] Seq=1 Ack=1 Win=131072 Len=0</t>
  </si>
  <si>
    <t>Client Hello (SNI=fcm.googleapis.com)</t>
  </si>
  <si>
    <t>443  &gt;  59393 [ACK] Seq=1 Ack=518 Win=269312 Len=0</t>
  </si>
  <si>
    <t>443  &gt;  59393 [PSH, ACK] Seq=1413 Ack=518 Win=269312 Len=1412 [TCP PDU reassembled in 152]</t>
  </si>
  <si>
    <t>59393  &gt;  443 [ACK] Seq=518 Ack=2825 Win=131072 Len=0</t>
  </si>
  <si>
    <t>443  &gt;  59393 [ACK] Seq=2825 Ack=518 Win=269312 Len=1412 [TCP PDU reassembled in 152]</t>
  </si>
  <si>
    <t>59393  &gt;  443 [ACK] Seq=518 Ack=4584 Win=131072 Len=0</t>
  </si>
  <si>
    <t>443  &gt;  59393 [ACK] Seq=4584 Ack=1825 Win=268032 Len=0</t>
  </si>
  <si>
    <t>443  &gt;  59393 [ACK] Seq=5263 Ack=1856 Win=268032 Len=0</t>
  </si>
  <si>
    <t>59393  &gt;  443 [ACK] Seq=1856 Ack=5263 Win=130560 Len=0</t>
  </si>
  <si>
    <t>59393  &gt;  443 [ACK] Seq=1856 Ack=5696 Win=130048 Len=0</t>
  </si>
  <si>
    <t>59393  &gt;  443 [FIN, ACK] Seq=1919 Ack=5696 Win=130048 Len=0</t>
  </si>
  <si>
    <t>443  &gt;  59393 [ACK] Seq=5696 Ack=1895 Win=268032 Len=0</t>
  </si>
  <si>
    <t>443  &gt;  59393 [ACK] Seq=5696 Ack=1919 Win=268032 Len=0</t>
  </si>
  <si>
    <t>443  &gt;  59393 [FIN, ACK] Seq=5696 Ack=1919 Win=268032 Len=0</t>
  </si>
  <si>
    <t>59393  &gt;  443 [ACK] Seq=1920 Ack=5697 Win=130048 Len=0</t>
  </si>
  <si>
    <t>443  &gt;  59393 [ACK] Seq=5697 Ack=1920 Win=268032 Len=0</t>
  </si>
  <si>
    <t>Publish Message (id=2) [vehicle/deteksi/1]</t>
  </si>
  <si>
    <t>Publish Ack (id=2)</t>
  </si>
  <si>
    <t>1883  &gt;  59381 [ACK] Seq=65 Ack=130 Win=64256 Len=0</t>
  </si>
  <si>
    <t>443  &gt;  58230 [ACK] Seq=315 Ack=224 Win=9 Len=0</t>
  </si>
  <si>
    <t>58230  &gt;  443 [ACK] Seq=224 Ack=441 Win=512 Len=0</t>
  </si>
  <si>
    <t>443  &gt;  58230 [ACK] Seq=472 Ack=259 Win=9 Len=0</t>
  </si>
  <si>
    <t>20.37.198.118</t>
  </si>
  <si>
    <t>59396  &gt;  443 [SYN] Seq=0 Win=64240 Len=0 MSS=1460 WS=256 SACK_PERM</t>
  </si>
  <si>
    <t>443  &gt;  59396 [SYN, ACK] Seq=0 Ack=1 Win=65535 Len=0 MSS=1440 WS=256 SACK_PERM</t>
  </si>
  <si>
    <t>59396  &gt;  443 [ACK] Seq=1 Ack=1 Win=132352 Len=0</t>
  </si>
  <si>
    <t>Client Hello (SNI=dc.services.visualstudio.com)</t>
  </si>
  <si>
    <t>Change Cipher Spec, Client Hello (SNI=dc.services.visualstudio.com)</t>
  </si>
  <si>
    <t>443  &gt;  59396 [ACK] Seq=1560 Ack=951 Win=4193536 Len=1460 [TCP PDU reassembled in 218]</t>
  </si>
  <si>
    <t>443  &gt;  59396 [ACK] Seq=3020 Ack=951 Win=4193536 Len=1460 [TCP PDU reassembled in 218]</t>
  </si>
  <si>
    <t>59396  &gt;  443 [ACK] Seq=951 Ack=4508 Win=132352 Len=0</t>
  </si>
  <si>
    <t>59396  &gt;  443 [ACK] Seq=1588 Ack=5064 Win=131840 Len=0</t>
  </si>
  <si>
    <t>59396  &gt;  443 [FIN, ACK] Seq=1612 Ack=5064 Win=131840 Len=0</t>
  </si>
  <si>
    <t>443  &gt;  59396 [ACK] Seq=5064 Ack=1613 Win=4194304 Len=0</t>
  </si>
  <si>
    <t>192.168.3.2</t>
  </si>
  <si>
    <t>45002  &gt;  8000 [SYN] Seq=0 Win=65535 Len=0 MSS=1460 SACK_PERM TSval=1784146 TSecr=0 WS=256</t>
  </si>
  <si>
    <t>8000  &gt;  45002 [SYN, ACK] Seq=0 Ack=1 Win=65535 Len=0 MSS=1460 WS=256 SACK_PERM</t>
  </si>
  <si>
    <t>45002  &gt;  8000 [ACK] Seq=1 Ack=1 Win=87808 Len=0</t>
  </si>
  <si>
    <t>45002  &gt;  8000 [PSH, ACK] Seq=1 Ack=1 Win=87808 Len=191 [TCP PDU reassembled in 239]</t>
  </si>
  <si>
    <t>HTTP</t>
  </si>
  <si>
    <t>POST /api/login HTTP/1.1  (application/x-www-form-urlencoded)</t>
  </si>
  <si>
    <t>8000  &gt;  45002 [ACK] Seq=1 Ack=237 Win=131072 Len=0</t>
  </si>
  <si>
    <t>[TCP Spurious Retransmission] 45002  &gt;  8000 [PSH, ACK] Seq=192 Ack=1 Win=87808 Len=45 [TCP PDU reassembled in 239]</t>
  </si>
  <si>
    <t>[TCP Dup ACK 240#1] 8000  &gt;  45002 [ACK] Seq=1 Ack=237 Win=131072 Len=0 SLE=192 SRE=237</t>
  </si>
  <si>
    <t>8000  &gt;  45002 [PSH, ACK] Seq=1 Ack=237 Win=131072 Len=273 [TCP PDU reassembled in 244]</t>
  </si>
  <si>
    <t>HTTP/JSON</t>
  </si>
  <si>
    <t>HTTP/1.1 200 OK , JSON (application/json)</t>
  </si>
  <si>
    <t>45002  &gt;  8000 [ACK] Seq=237 Ack=274 Win=88832 Len=0</t>
  </si>
  <si>
    <t>45002  &gt;  8000 [FIN, ACK] Seq=237 Ack=636 Win=89856 Len=0</t>
  </si>
  <si>
    <t>8000  &gt;  45002 [ACK] Seq=636 Ack=238 Win=131072 Len=0</t>
  </si>
  <si>
    <t>45004  &gt;  8000 [SYN] Seq=0 Win=65535 Len=0 MSS=1460 SACK_PERM TSval=1784269 TSecr=0 WS=256</t>
  </si>
  <si>
    <t>8000  &gt;  45004 [SYN, ACK] Seq=0 Ack=1 Win=65535 Len=0 MSS=1460 WS=256 SACK_PERM</t>
  </si>
  <si>
    <t>45004  &gt;  8000 [ACK] Seq=1 Ack=1 Win=87808 Len=0</t>
  </si>
  <si>
    <t>45004  &gt;  8000 [PSH, ACK] Seq=1 Ack=1 Win=87808 Len=540 [TCP PDU reassembled in 252]</t>
  </si>
  <si>
    <t>PUT /api/user/update HTTP/1.1  (application/x-www-form-urlencoded)</t>
  </si>
  <si>
    <t>8000  &gt;  45004 [ACK] Seq=1 Ack=691 Win=130560 Len=0</t>
  </si>
  <si>
    <t>13.107.246.59</t>
  </si>
  <si>
    <t>59292  &gt;  443 [ACK] Seq=1 Ack=65 Win=511 Len=0</t>
  </si>
  <si>
    <t>59292  &gt;  443 [FIN, ACK] Seq=1 Ack=65 Win=511 Len=0</t>
  </si>
  <si>
    <t>443  &gt;  59292 [ACK] Seq=65 Ack=2 Win=83 Len=0</t>
  </si>
  <si>
    <t>8000  &gt;  45004 [PSH, ACK] Seq=1 Ack=691 Win=130560 Len=273 [TCP PDU reassembled in 260]</t>
  </si>
  <si>
    <t>45004  &gt;  8000 [ACK] Seq=691 Ack=274 Win=88832 Len=0</t>
  </si>
  <si>
    <t>45004  &gt;  8000 [FIN, ACK] Seq=691 Ack=314 Win=88832 Len=0</t>
  </si>
  <si>
    <t>8000  &gt;  45004 [ACK] Seq=314 Ack=692 Win=130560 Len=0</t>
  </si>
  <si>
    <t>45006  &gt;  8000 [SYN] Seq=0 Win=65535 Len=0 MSS=1460 SACK_PERM TSval=1784349 TSecr=0 WS=256</t>
  </si>
  <si>
    <t>8000  &gt;  45006 [SYN, ACK] Seq=0 Ack=1 Win=65535 Len=0 MSS=1460 WS=256 SACK_PERM</t>
  </si>
  <si>
    <t>45006  &gt;  8000 [ACK] Seq=1 Ack=1 Win=87808 Len=0</t>
  </si>
  <si>
    <t xml:space="preserve">GET /api/vehicle/list HTTP/1.1 </t>
  </si>
  <si>
    <t>8000  &gt;  45006 [ACK] Seq=1 Ack=457 Win=130816 Len=0</t>
  </si>
  <si>
    <t>8000  &gt;  45006 [PSH, ACK] Seq=1 Ack=457 Win=130816 Len=273 [TCP PDU reassembled in 272]</t>
  </si>
  <si>
    <t>45006  &gt;  8000 [ACK] Seq=457 Ack=274 Win=88832 Len=0</t>
  </si>
  <si>
    <t>45006  &gt;  8000 [FIN, ACK] Seq=457 Ack=417 Win=88832 Len=0</t>
  </si>
  <si>
    <t>8000  &gt;  45006 [ACK] Seq=417 Ack=458 Win=130816 Len=0</t>
  </si>
  <si>
    <t>59402  &gt;  80 [SYN] Seq=0 Win=64240 Len=0 MSS=1460 WS=256 SACK_PERM</t>
  </si>
  <si>
    <t>443  &gt;  58230 [ACK] Seq=472 Ack=310 Win=9 Len=0</t>
  </si>
  <si>
    <t>58230  &gt;  443 [ACK] Seq=310 Ack=598 Win=512 Len=0</t>
  </si>
  <si>
    <t>443  &gt;  58230 [ACK] Seq=629 Ack=345 Win=9 Len=0</t>
  </si>
  <si>
    <t>[TCP Retransmission] 59402  &gt;  80 [SYN] Seq=0 Win=64240 Len=0 MSS=1460 WS=256 SACK_PERM</t>
  </si>
  <si>
    <t>Publish Message (id=3) [vehicle/deteksi/1]</t>
  </si>
  <si>
    <t>59381  &gt;  1883 [ACK] Seq=130 Ack=89 Win=1050880 Len=0</t>
  </si>
  <si>
    <t>Publish Ack (id=3)</t>
  </si>
  <si>
    <t>1883  &gt;  59381 [ACK] Seq=89 Ack=134 Win=64256 Len=0</t>
  </si>
  <si>
    <t>59407  &gt;  443 [SYN] Seq=0 Win=64240 Len=0 MSS=1460 WS=256 SACK_PERM</t>
  </si>
  <si>
    <t>443  &gt;  59407 [SYN, ACK] Seq=0 Ack=1 Win=65535 Len=0 MSS=1412 SACK_PERM WS=256</t>
  </si>
  <si>
    <t>59407  &gt;  443 [ACK] Seq=1 Ack=1 Win=131072 Len=0</t>
  </si>
  <si>
    <t>443  &gt;  59407 [ACK] Seq=1 Ack=518 Win=269312 Len=0</t>
  </si>
  <si>
    <t>443  &gt;  59407 [PSH, ACK] Seq=1413 Ack=518 Win=269312 Len=1412 [TCP PDU reassembled in 305]</t>
  </si>
  <si>
    <t>59407  &gt;  443 [ACK] Seq=518 Ack=2825 Win=131072 Len=0</t>
  </si>
  <si>
    <t>443  &gt;  59407 [ACK] Seq=2825 Ack=518 Win=269312 Len=1412 [TCP PDU reassembled in 305]</t>
  </si>
  <si>
    <t>59407  &gt;  443 [ACK] Seq=518 Ack=4511 Win=131072 Len=0</t>
  </si>
  <si>
    <t>443  &gt;  59407 [ACK] Seq=4511 Ack=1560 Win=268288 Len=0</t>
  </si>
  <si>
    <t>59407  &gt;  443 [ACK] Seq=1591 Ack=5440 Win=130304 Len=0</t>
  </si>
  <si>
    <t>59407  &gt;  443 [ACK] Seq=1591 Ack=6593 Win=131072 Len=0</t>
  </si>
  <si>
    <t>59407  &gt;  443 [FIN, ACK] Seq=1654 Ack=6593 Win=131072 Len=0</t>
  </si>
  <si>
    <t>59410  &gt;  443 [SYN] Seq=0 Win=64240 Len=0 MSS=1460 WS=256 SACK_PERM</t>
  </si>
  <si>
    <t>443  &gt;  59407 [ACK] Seq=6593 Ack=1591 Win=268288 Len=0</t>
  </si>
  <si>
    <t>443  &gt;  59407 [ACK] Seq=6593 Ack=1630 Win=268288 Len=0</t>
  </si>
  <si>
    <t>443  &gt;  59407 [ACK] Seq=6593 Ack=1654 Win=268288 Len=0</t>
  </si>
  <si>
    <t>443  &gt;  59407 [FIN, ACK] Seq=6593 Ack=1655 Win=268288 Len=0</t>
  </si>
  <si>
    <t>59407  &gt;  443 [ACK] Seq=1655 Ack=6594 Win=131072 Len=0</t>
  </si>
  <si>
    <t>443  &gt;  59410 [SYN, ACK] Seq=0 Ack=1 Win=65535 Len=0 MSS=1412 SACK_PERM WS=256</t>
  </si>
  <si>
    <t>59410  &gt;  443 [ACK] Seq=1 Ack=1 Win=131072 Len=0</t>
  </si>
  <si>
    <t>443  &gt;  59410 [ACK] Seq=1 Ack=518 Win=269312 Len=0</t>
  </si>
  <si>
    <t>443  &gt;  59410 [PSH, ACK] Seq=1413 Ack=518 Win=269312 Len=1412 [TCP PDU reassembled in 336]</t>
  </si>
  <si>
    <t>59410  &gt;  443 [ACK] Seq=518 Ack=2825 Win=131072 Len=0</t>
  </si>
  <si>
    <t>443  &gt;  59410 [ACK] Seq=2825 Ack=518 Win=269312 Len=1412 [TCP PDU reassembled in 336]</t>
  </si>
  <si>
    <t>59410  &gt;  443 [ACK] Seq=518 Ack=4584 Win=131072 Len=0</t>
  </si>
  <si>
    <t>443  &gt;  59410 [ACK] Seq=4584 Ack=1916 Win=268032 Len=0</t>
  </si>
  <si>
    <t>59410  &gt;  443 [ACK] Seq=1916 Ack=5263 Win=130560 Len=0</t>
  </si>
  <si>
    <t>443  &gt;  59410 [ACK] Seq=5263 Ack=1947 Win=268032 Len=0</t>
  </si>
  <si>
    <t>59410  &gt;  443 [ACK] Seq=1947 Ack=5626 Win=130048 Len=0</t>
  </si>
  <si>
    <t>59410  &gt;  443 [FIN, ACK] Seq=2010 Ack=5665 Win=130048 Len=0</t>
  </si>
  <si>
    <t>443  &gt;  59410 [ACK] Seq=5665 Ack=2010 Win=268032 Len=0</t>
  </si>
  <si>
    <t>443  &gt;  59410 [FIN, ACK] Seq=5665 Ack=2010 Win=268032 Len=0</t>
  </si>
  <si>
    <t>443  &gt;  59410 [ACK] Seq=5666 Ack=2011 Win=268032 Len=0</t>
  </si>
  <si>
    <t>[TCP Retransmission] 443  &gt;  59410 [FIN, ACK] Seq=5665 Ack=2011 Win=268032 Len=0</t>
  </si>
  <si>
    <t>[TCP ZeroWindow] 59410  &gt;  443 [ACK] Seq=2011 Ack=5666 Win=0 Len=0</t>
  </si>
  <si>
    <t>Publish Message (id=4) [vehicle/deteksi/1]</t>
  </si>
  <si>
    <t>Publish Ack (id=4)</t>
  </si>
  <si>
    <t>1883  &gt;  59381 [ACK] Seq=113 Ack=138 Win=64256 Len=0</t>
  </si>
  <si>
    <t>443  &gt;  58230 [ACK] Seq=629 Ack=396 Win=9 Len=0</t>
  </si>
  <si>
    <t>58230  &gt;  443 [ACK] Seq=396 Ack=755 Win=511 Len=0</t>
  </si>
  <si>
    <t>443  &gt;  58230 [ACK] Seq=786 Ack=431 Win=9 Len=0</t>
  </si>
  <si>
    <t>20.42.65.88</t>
  </si>
  <si>
    <t>59413  &gt;  443 [SYN] Seq=0 Win=65535 Len=0 MSS=1460 WS=256 SACK_PERM</t>
  </si>
  <si>
    <t>443  &gt;  59413 [SYN, ACK] Seq=0 Ack=1 Win=65535 Len=0 MSS=1440 WS=256 SACK_PERM</t>
  </si>
  <si>
    <t>59413  &gt;  443 [ACK] Seq=1 Ack=1 Win=262144 Len=0</t>
  </si>
  <si>
    <t>Client Hello (SNI=self.events.data.microsoft.com)</t>
  </si>
  <si>
    <t>443  &gt;  59413 [ACK] Seq=1 Ack=230 Win=4194304 Len=1460 [TCP PDU reassembled in 471]</t>
  </si>
  <si>
    <t>443  &gt;  59413 [ACK] Seq=1461 Ack=230 Win=4194304 Len=1460 [TCP PDU reassembled in 471]</t>
  </si>
  <si>
    <t>59413  &gt;  443 [ACK] Seq=230 Ack=2921 Win=262144 Len=0</t>
  </si>
  <si>
    <t>443  &gt;  59413 [ACK] Seq=2921 Ack=230 Win=4194304 Len=1460 [TCP PDU reassembled in 471]</t>
  </si>
  <si>
    <t>443  &gt;  59413 [ACK] Seq=4381 Ack=230 Win=4194304 Len=1460 [TCP PDU reassembled in 471]</t>
  </si>
  <si>
    <t>Server Hello, Certificate, Certificate Status, Server Key Exchange, Server Hello Done</t>
  </si>
  <si>
    <t>59413  &gt;  443 [ACK] Seq=230 Ack=6321 Win=262144 Len=0</t>
  </si>
  <si>
    <t>Client Key Exchange, Change Cipher Spec, Encrypted Handshake Message</t>
  </si>
  <si>
    <t>Change Cipher Spec, Encrypted Handshake Message</t>
  </si>
  <si>
    <t>59413  &gt;  443 [ACK] Seq=388 Ack=6372 Win=261888 Len=0</t>
  </si>
  <si>
    <t>443  &gt;  59413 [ACK] Seq=6372 Ack=2286 Win=4194560 Len=0</t>
  </si>
  <si>
    <t>443  &gt;  59413 [ACK] Seq=6372 Ack=5166 Win=4194560 Len=0</t>
  </si>
  <si>
    <t>59413  &gt;  443 [ACK] Seq=5625 Ack=6824 Win=261632 Len=0</t>
  </si>
  <si>
    <t>23.219.204.174</t>
  </si>
  <si>
    <t>59352  &gt;  443 [RST, ACK] Seq=1 Ack=1 Win=0 Len=0</t>
  </si>
  <si>
    <t>58230  &gt;  443 [FIN, ACK] Seq=431 Ack=786 Win=511 Len=0</t>
  </si>
  <si>
    <t>59382  &gt;  443 [FIN, ACK] Seq=9298 Ack=6983 Win=131840 Len=0</t>
  </si>
  <si>
    <t>443  &gt;  58230 [FIN, ACK] Seq=786 Ack=432 Win=9 Len=0</t>
  </si>
  <si>
    <t>58230  &gt;  443 [ACK] Seq=432 Ack=787 Win=511 Len=0</t>
  </si>
  <si>
    <t>45044  &gt;  8000 [SYN] Seq=0 Win=65535 Len=0 MSS=1460 SACK_PERM TSval=1787476 TSecr=0 WS=256</t>
  </si>
  <si>
    <t>8000  &gt;  45044 [SYN, ACK] Seq=0 Ack=1 Win=65535 Len=0 MSS=1460 WS=256 SACK_PERM</t>
  </si>
  <si>
    <t>45044  &gt;  8000 [ACK] Seq=1 Ack=1 Win=87808 Len=0</t>
  </si>
  <si>
    <t>45044  &gt;  8000 [PSH, ACK] Seq=1 Ack=1 Win=87808 Len=544 [TCP PDU reassembled in 538]</t>
  </si>
  <si>
    <t>PUT /api/vehicle/modemesin HTTP/1.1  (application/x-www-form-urlencoded)</t>
  </si>
  <si>
    <t>8000  &gt;  45044 [ACK] Seq=1 Ack=549 Win=130816 Len=0</t>
  </si>
  <si>
    <t>443  &gt;  59382 [FIN, ACK] Seq=6983 Ack=9299 Win=4194304 Len=0</t>
  </si>
  <si>
    <t>59382  &gt;  443 [ACK] Seq=9299 Ack=6984 Win=131840 Len=0</t>
  </si>
  <si>
    <t>59418  &gt;  1883 [SYN] Seq=0 Win=64240 Len=0 MSS=1460 WS=256 SACK_PERM</t>
  </si>
  <si>
    <t>1883  &gt;  59418 [SYN, ACK] Seq=0 Ack=1 Win=64240 Len=0 MSS=1460 SACK_PERM WS=128</t>
  </si>
  <si>
    <t>59418  &gt;  1883 [ACK] Seq=1 Ack=1 Win=1051136 Len=0</t>
  </si>
  <si>
    <t>1883  &gt;  59418 [ACK] Seq=1 Ack=55 Win=64256 Len=0</t>
  </si>
  <si>
    <t>Publish Message (id=1) [vehicle/mesin/1]</t>
  </si>
  <si>
    <t>Publish Message (id=5) [vehicle/mesin/1]</t>
  </si>
  <si>
    <t>8000  &gt;  45044 [PSH, ACK] Seq=1 Ack=549 Win=130816 Len=273 [TCP PDU reassembled in 555]</t>
  </si>
  <si>
    <t>59418  &gt;  1883 [RST, ACK] Seq=77 Ack=9 Win=0 Len=0</t>
  </si>
  <si>
    <t>45044  &gt;  8000 [ACK] Seq=549 Ack=274 Win=88832 Len=0</t>
  </si>
  <si>
    <t>8000  &gt;  45044 [PSH, ACK] Seq=274 Ack=549 Win=130816 Len=70 [TCP PDU reassembled in 555]</t>
  </si>
  <si>
    <t>45044  &gt;  8000 [ACK] Seq=549 Ack=344 Win=88832 Len=0</t>
  </si>
  <si>
    <t>45044  &gt;  8000 [FIN, ACK] Seq=549 Ack=345 Win=88832 Len=0</t>
  </si>
  <si>
    <t>8000  &gt;  45044 [ACK] Seq=345 Ack=550 Win=130816 Len=0</t>
  </si>
  <si>
    <t>Publish Ack (id=5)</t>
  </si>
  <si>
    <t>1883  &gt;  59381 [ACK] Seq=135 Ack=142 Win=64256 Len=0</t>
  </si>
  <si>
    <t>45050  &gt;  8000 [SYN] Seq=0 Win=65535 Len=0 MSS=1460 SACK_PERM TSval=1787533 TSecr=0 WS=256</t>
  </si>
  <si>
    <t>8000  &gt;  45050 [SYN, ACK] Seq=0 Ack=1 Win=65535 Len=0 MSS=1460 WS=256 SACK_PERM</t>
  </si>
  <si>
    <t>45050  &gt;  8000 [ACK] Seq=1 Ack=1 Win=87808 Len=0</t>
  </si>
  <si>
    <t>8000  &gt;  45050 [ACK] Seq=1 Ack=457 Win=130816 Len=0</t>
  </si>
  <si>
    <t>8000  &gt;  45050 [PSH, ACK] Seq=1 Ack=457 Win=130816 Len=273 [TCP PDU reassembled in 567]</t>
  </si>
  <si>
    <t>45050  &gt;  8000 [ACK] Seq=457 Ack=274 Win=88832 Len=0</t>
  </si>
  <si>
    <t>45050  &gt;  8000 [FIN, ACK] Seq=457 Ack=417 Win=88832 Len=0</t>
  </si>
  <si>
    <t>8000  &gt;  45050 [ACK] Seq=417 Ack=458 Win=130816 Len=0</t>
  </si>
  <si>
    <t>51.105.71.136</t>
  </si>
  <si>
    <t>59420  &gt;  443 [SYN] Seq=0 Win=64240 Len=0 MSS=1460 WS=256 SACK_PERM</t>
  </si>
  <si>
    <t>20.97.190.220</t>
  </si>
  <si>
    <t>59421  &gt;  443 [SYN] Seq=0 Win=64240 Len=0 MSS=1460 WS=256 SACK_PERM</t>
  </si>
  <si>
    <t>443  &gt;  59420 [SYN, ACK] Seq=0 Ack=1 Win=65535 Len=0 MSS=1440 WS=256 SACK_PERM</t>
  </si>
  <si>
    <t>59420  &gt;  443 [ACK] Seq=1 Ack=1 Win=132352 Len=0</t>
  </si>
  <si>
    <t>Client Hello (SNI=v10.events.data.microsoft.com)</t>
  </si>
  <si>
    <t>443  &gt;  59421 [SYN, ACK] Seq=0 Ack=1 Win=65535 Len=0 MSS=1460 WS=256 SACK_PERM</t>
  </si>
  <si>
    <t>59421  &gt;  443 [ACK] Seq=1 Ack=1 Win=131328 Len=0</t>
  </si>
  <si>
    <t>Client Hello (SNI=fe2cr.update.microsoft.com)</t>
  </si>
  <si>
    <t>443  &gt;  59420 [ACK] Seq=1 Ack=215 Win=4194304 Len=1460 [TCP PDU reassembled in 592]</t>
  </si>
  <si>
    <t>443  &gt;  59420 [ACK] Seq=1461 Ack=215 Win=4194304 Len=1460 [TCP PDU reassembled in 592]</t>
  </si>
  <si>
    <t>59420  &gt;  443 [ACK] Seq=215 Ack=2921 Win=132352 Len=0</t>
  </si>
  <si>
    <t>Server Hello, Certificate, Server Key Exchange, Server Hello Done</t>
  </si>
  <si>
    <t>8.8.4.4</t>
  </si>
  <si>
    <t>59422  &gt;  443 [SYN] Seq=0 Win=64240 Len=0 MSS=1460 WS=256 SACK_PERM</t>
  </si>
  <si>
    <t>443  &gt;  59422 [SYN, ACK] Seq=0 Ack=1 Win=65535 Len=0 MSS=1412 SACK_PERM WS=256</t>
  </si>
  <si>
    <t>59422  &gt;  443 [ACK] Seq=1 Ack=1 Win=131072 Len=0</t>
  </si>
  <si>
    <t>Client Hello (SNI=dns.google)</t>
  </si>
  <si>
    <t>443  &gt;  59422 [ACK] Seq=1 Ack=758 Win=269056 Len=0</t>
  </si>
  <si>
    <t>Server Hello, Change Cipher Spec, Application Data</t>
  </si>
  <si>
    <t>443  &gt;  59421 [ACK] Seq=1 Ack=212 Win=65280 Len=1460 [TCP PDU reassembled in 637]</t>
  </si>
  <si>
    <t>59421  &gt;  443 [ACK] Seq=212 Ack=2432 Win=131328 Len=0</t>
  </si>
  <si>
    <t>59420  &gt;  443 [ACK] Seq=373 Ack=4356 Win=130816 Len=0</t>
  </si>
  <si>
    <t>59422  &gt;  443 [ACK] Seq=1373 Ack=1639 Win=131072 Len=0</t>
  </si>
  <si>
    <t>59422  &gt;  443 [ACK] Seq=1373 Ack=2208 Win=130560 Len=0</t>
  </si>
  <si>
    <t>59422  &gt;  443 [ACK] Seq=1412 Ack=2806 Win=130048 Len=0</t>
  </si>
  <si>
    <t>59423  &gt;  443 [SYN] Seq=0 Win=64240 Len=0 MSS=1460 WS=256 SACK_PERM</t>
  </si>
  <si>
    <t>443  &gt;  59422 [ACK] Seq=2806 Ack=1373 Win=268800 Len=0</t>
  </si>
  <si>
    <t>443  &gt;  59423 [SYN, ACK] Seq=0 Ack=1 Win=65535 Len=0 MSS=1400 SACK_PERM WS=8192</t>
  </si>
  <si>
    <t>59423  &gt;  443 [ACK] Seq=1 Ack=1 Win=131584 Len=0</t>
  </si>
  <si>
    <t>Client Hello (SNI=ipv4.icanhazip.com)</t>
  </si>
  <si>
    <t>443  &gt;  59422 [ACK] Seq=2806 Ack=1412 Win=268800 Len=0</t>
  </si>
  <si>
    <t>443  &gt;  59423 [ACK] Seq=1 Ack=556 Win=73728 Len=0</t>
  </si>
  <si>
    <t>443  &gt;  59423 [ACK] Seq=213 Ack=712 Win=73728 Len=0</t>
  </si>
  <si>
    <t>59423  &gt;  443 [ACK] Seq=1219 Ack=996 Win=130560 Len=0</t>
  </si>
  <si>
    <t>443  &gt;  59423 [ACK] Seq=996 Ack=1219 Win=73728 Len=0</t>
  </si>
  <si>
    <t>59420  &gt;  443 [ACK] Seq=2521 Ack=4394 Win=132352 Len=0</t>
  </si>
  <si>
    <t>443  &gt;  59420 [ACK] Seq=4394 Ack=1407 Win=4193024 Len=0</t>
  </si>
  <si>
    <t>443  &gt;  59420 [ACK] Seq=4394 Ack=2521 Win=4194560 Len=0</t>
  </si>
  <si>
    <t>59421  &gt;  443 [ACK] Seq=370 Ack=2552 Win=131072 Len=0</t>
  </si>
  <si>
    <t>59420  &gt;  443 [FIN, ACK] Seq=2521 Ack=4679 Win=132096 Len=0</t>
  </si>
  <si>
    <t>443  &gt;  59421 [ACK] Seq=2590 Ack=779 Win=64512 Len=0</t>
  </si>
  <si>
    <t>443  &gt;  59421 [ACK] Seq=2590 Ack=1355 Win=64000 Len=0</t>
  </si>
  <si>
    <t>59421  &gt;  443 [ACK] Seq=1355 Ack=2590 Win=131072 Len=0</t>
  </si>
  <si>
    <t>443  &gt;  59420 [FIN, ACK] Seq=4721 Ack=2522 Win=4194560 Len=0</t>
  </si>
  <si>
    <t>59420  &gt;  443 [RST, ACK] Seq=2522 Ack=4721 Win=0 Len=0</t>
  </si>
  <si>
    <t>146.75.46.172</t>
  </si>
  <si>
    <t>59323  &gt;  80 [FIN, ACK] Seq=1 Ack=1 Win=512 Len=0</t>
  </si>
  <si>
    <t>59361  &gt;  80 [FIN, ACK] Seq=1 Ack=1 Win=512 Len=0</t>
  </si>
  <si>
    <t>80  &gt;  59361 [ACK] Seq=1 Ack=2 Win=288 Len=0</t>
  </si>
  <si>
    <t>80  &gt;  59361 [FIN, ACK] Seq=1 Ack=2 Win=288 Len=0</t>
  </si>
  <si>
    <t>59361  &gt;  80 [ACK] Seq=2 Ack=2 Win=512 Len=0</t>
  </si>
  <si>
    <t>80  &gt;  59323 [ACK] Seq=1 Ack=2 Win=288 Len=0</t>
  </si>
  <si>
    <t>80  &gt;  59323 [FIN, ACK] Seq=1 Ack=2 Win=288 Len=0</t>
  </si>
  <si>
    <t>59323  &gt;  80 [ACK] Seq=2 Ack=2 Win=512 Len=0</t>
  </si>
  <si>
    <t>59421  &gt;  443 [ACK] Seq=1355 Ack=3041 Win=130560 Len=0</t>
  </si>
  <si>
    <t>443  &gt;  59421 [ACK] Seq=3041 Ack=7336 Win=65280 Len=0</t>
  </si>
  <si>
    <t>443  &gt;  59421 [ACK] Seq=3041 Ack=12812 Win=65280 Len=0</t>
  </si>
  <si>
    <t>443  &gt;  59421 [ACK] Seq=3041 Ack=12812 Win=65280 Len=1460 [TCP PDU reassembled in 760]</t>
  </si>
  <si>
    <t>443  &gt;  59421 [ACK] Seq=4501 Ack=12812 Win=65280 Len=1460 [TCP PDU reassembled in 760]</t>
  </si>
  <si>
    <t>59421  &gt;  443 [ACK] Seq=12812 Ack=5961 Win=131328 Len=0</t>
  </si>
  <si>
    <t>443  &gt;  59421 [ACK] Seq=5961 Ack=12812 Win=65280 Len=1460 [TCP PDU reassembled in 760]</t>
  </si>
  <si>
    <t>443  &gt;  59421 [ACK] Seq=7421 Ack=12812 Win=65280 Len=1460 [TCP PDU reassembled in 760]</t>
  </si>
  <si>
    <t>59421  &gt;  443 [ACK] Seq=12812 Ack=8881 Win=131328 Len=0</t>
  </si>
  <si>
    <t>443  &gt;  59421 [ACK] Seq=8881 Ack=12812 Win=65280 Len=1460 [TCP PDU reassembled in 760]</t>
  </si>
  <si>
    <t>443  &gt;  59421 [ACK] Seq=10341 Ack=12812 Win=65280 Len=1460 [TCP PDU reassembled in 760]</t>
  </si>
  <si>
    <t>59421  &gt;  443 [ACK] Seq=12812 Ack=11801 Win=131328 Len=0</t>
  </si>
  <si>
    <t>443  &gt;  59421 [ACK] Seq=11801 Ack=12812 Win=65280 Len=1460 [TCP PDU reassembled in 760]</t>
  </si>
  <si>
    <t>443  &gt;  59421 [ACK] Seq=13261 Ack=12812 Win=65280 Len=1460 [TCP PDU reassembled in 760]</t>
  </si>
  <si>
    <t>59421  &gt;  443 [ACK] Seq=12812 Ack=14721 Win=131328 Len=0</t>
  </si>
  <si>
    <t>443  &gt;  59421 [ACK] Seq=14721 Ack=12812 Win=65280 Len=1460 [TCP PDU reassembled in 760]</t>
  </si>
  <si>
    <t>443  &gt;  59421 [ACK] Seq=16181 Ack=12812 Win=65280 Len=1460 [TCP PDU reassembled in 760]</t>
  </si>
  <si>
    <t>59421  &gt;  443 [ACK] Seq=12812 Ack=17641 Win=131328 Len=0</t>
  </si>
  <si>
    <t>443  &gt;  59421 [ACK] Seq=17641 Ack=12812 Win=65280 Len=1460 [TCP PDU reassembled in 760]</t>
  </si>
  <si>
    <t>59421  &gt;  443 [ACK] Seq=12812 Ack=19537 Win=131328 Len=0</t>
  </si>
  <si>
    <t>443  &gt;  59421 [ACK] Seq=19537 Ack=12812 Win=65280 Len=1460 [TCP PDU reassembled in 786]</t>
  </si>
  <si>
    <t>443  &gt;  59421 [ACK] Seq=20997 Ack=12812 Win=65280 Len=1460 [TCP PDU reassembled in 786]</t>
  </si>
  <si>
    <t>59421  &gt;  443 [ACK] Seq=12812 Ack=22457 Win=131328 Len=0</t>
  </si>
  <si>
    <t>443  &gt;  59421 [ACK] Seq=22457 Ack=12812 Win=65280 Len=1460 [TCP PDU reassembled in 786]</t>
  </si>
  <si>
    <t>443  &gt;  59421 [ACK] Seq=23917 Ack=12812 Win=65280 Len=1460 [TCP PDU reassembled in 786]</t>
  </si>
  <si>
    <t>59421  &gt;  443 [ACK] Seq=12812 Ack=25377 Win=131328 Len=0</t>
  </si>
  <si>
    <t>443  &gt;  59421 [ACK] Seq=25377 Ack=12812 Win=65280 Len=1460 [TCP PDU reassembled in 786]</t>
  </si>
  <si>
    <t>443  &gt;  59421 [ACK] Seq=26837 Ack=12812 Win=65280 Len=1460 [TCP PDU reassembled in 786]</t>
  </si>
  <si>
    <t>59421  &gt;  443 [ACK] Seq=12812 Ack=28297 Win=131328 Len=0</t>
  </si>
  <si>
    <t>443  &gt;  59421 [ACK] Seq=28297 Ack=12812 Win=65280 Len=1460 [TCP PDU reassembled in 786]</t>
  </si>
  <si>
    <t>443  &gt;  59421 [ACK] Seq=29757 Ack=12812 Win=65280 Len=1460 [TCP PDU reassembled in 786]</t>
  </si>
  <si>
    <t>59421  &gt;  443 [ACK] Seq=12812 Ack=31217 Win=131328 Len=0</t>
  </si>
  <si>
    <t>443  &gt;  59421 [ACK] Seq=31217 Ack=12812 Win=65280 Len=1460 [TCP PDU reassembled in 786]</t>
  </si>
  <si>
    <t>443  &gt;  59421 [ACK] Seq=32677 Ack=12812 Win=65280 Len=1460 [TCP PDU reassembled in 786]</t>
  </si>
  <si>
    <t>59421  &gt;  443 [ACK] Seq=12812 Ack=34137 Win=131328 Len=0</t>
  </si>
  <si>
    <t>443  &gt;  59421 [ACK] Seq=34137 Ack=12812 Win=65280 Len=1460 [TCP PDU reassembled in 786]</t>
  </si>
  <si>
    <t>59421  &gt;  443 [ACK] Seq=12812 Ack=37057 Win=131328 Len=0</t>
  </si>
  <si>
    <t>443  &gt;  59421 [ACK] Seq=37057 Ack=12812 Win=65280 Len=1460 [TCP PDU reassembled in 803]</t>
  </si>
  <si>
    <t>443  &gt;  59421 [ACK] Seq=38517 Ack=12812 Win=65280 Len=1460 [TCP PDU reassembled in 803]</t>
  </si>
  <si>
    <t>59421  &gt;  443 [ACK] Seq=12812 Ack=39977 Win=131328 Len=0</t>
  </si>
  <si>
    <t>443  &gt;  59421 [ACK] Seq=39977 Ack=12812 Win=65280 Len=1460 [TCP PDU reassembled in 803]</t>
  </si>
  <si>
    <t>443  &gt;  59421 [ACK] Seq=41437 Ack=12812 Win=65280 Len=1460 [TCP PDU reassembled in 803]</t>
  </si>
  <si>
    <t>59421  &gt;  443 [ACK] Seq=12812 Ack=42897 Win=131328 Len=0</t>
  </si>
  <si>
    <t>443  &gt;  59421 [ACK] Seq=42897 Ack=12812 Win=65280 Len=1460 [TCP PDU reassembled in 803]</t>
  </si>
  <si>
    <t>443  &gt;  59421 [ACK] Seq=44357 Ack=12812 Win=65280 Len=1460 [TCP PDU reassembled in 803]</t>
  </si>
  <si>
    <t>59421  &gt;  443 [ACK] Seq=12812 Ack=45817 Win=131328 Len=0</t>
  </si>
  <si>
    <t>443  &gt;  59421 [ACK] Seq=45817 Ack=12812 Win=65280 Len=1460 [TCP PDU reassembled in 803]</t>
  </si>
  <si>
    <t>443  &gt;  59421 [ACK] Seq=47277 Ack=12812 Win=65280 Len=1460 [TCP PDU reassembled in 803]</t>
  </si>
  <si>
    <t>59421  &gt;  443 [ACK] Seq=12812 Ack=48737 Win=131328 Len=0</t>
  </si>
  <si>
    <t>443  &gt;  59421 [ACK] Seq=48737 Ack=12812 Win=65280 Len=1460 [TCP PDU reassembled in 803]</t>
  </si>
  <si>
    <t>443  &gt;  59421 [ACK] Seq=50197 Ack=12812 Win=65280 Len=1460 [TCP PDU reassembled in 803]</t>
  </si>
  <si>
    <t>59421  &gt;  443 [ACK] Seq=12812 Ack=51657 Win=131328 Len=0</t>
  </si>
  <si>
    <t>59421  &gt;  443 [ACK] Seq=12812 Ack=53117 Win=131328 Len=0</t>
  </si>
  <si>
    <t>443  &gt;  59421 [ACK] Seq=53117 Ack=12812 Win=65280 Len=1460 [TCP PDU reassembled in 815]</t>
  </si>
  <si>
    <t>443  &gt;  59421 [ACK] Seq=54577 Ack=12812 Win=65280 Len=1460 [TCP PDU reassembled in 815]</t>
  </si>
  <si>
    <t>59421  &gt;  443 [ACK] Seq=12812 Ack=56037 Win=131328 Len=0</t>
  </si>
  <si>
    <t>443  &gt;  59421 [ACK] Seq=56037 Ack=12812 Win=65280 Len=1460 [TCP PDU reassembled in 815]</t>
  </si>
  <si>
    <t>443  &gt;  59421 [ACK] Seq=57497 Ack=12812 Win=65280 Len=1460 [TCP PDU reassembled in 815]</t>
  </si>
  <si>
    <t>59421  &gt;  443 [ACK] Seq=12812 Ack=58957 Win=131328 Len=0</t>
  </si>
  <si>
    <t>443  &gt;  59421 [ACK] Seq=58957 Ack=12812 Win=65280 Len=1460 [TCP PDU reassembled in 815]</t>
  </si>
  <si>
    <t>443  &gt;  59421 [ACK] Seq=60417 Ack=12812 Win=65280 Len=1460 [TCP PDU reassembled in 815]</t>
  </si>
  <si>
    <t>59421  &gt;  443 [ACK] Seq=12812 Ack=61877 Win=131328 Len=0</t>
  </si>
  <si>
    <t>443  &gt;  59421 [ACK] Seq=61877 Ack=12812 Win=65280 Len=1460 [TCP PDU reassembled in 815]</t>
  </si>
  <si>
    <t>59421  &gt;  443 [ACK] Seq=12812 Ack=64529 Win=131328 Len=0</t>
  </si>
  <si>
    <t>443  &gt;  59421 [ACK] Seq=64529 Ack=13749 Win=64512 Len=0</t>
  </si>
  <si>
    <t>59426  &gt;  80 [SYN] Seq=0 Win=64240 Len=0 MSS=1460 WS=256 SACK_PERM</t>
  </si>
  <si>
    <t>59421  &gt;  443 [ACK] Seq=13749 Ack=65610 Win=130304 Len=0</t>
  </si>
  <si>
    <t>80  &gt;  59426 [SYN, ACK] Seq=0 Ack=1 Win=65535 Len=0 MSS=1460 SACK_PERM WS=512</t>
  </si>
  <si>
    <t>59426  &gt;  80 [ACK] Seq=1 Ack=1 Win=131328 Len=0</t>
  </si>
  <si>
    <t xml:space="preserve">GET /c/msdownload/update/others/2025/03/42920405_c6bc5c04071bb5c1769b7f51181874254d4a8dad.cab HTTP/1.1 </t>
  </si>
  <si>
    <t>80  &gt;  59426 [ACK] Seq=1 Ack=250 Win=147456 Len=0</t>
  </si>
  <si>
    <t>80  &gt;  59426 [PSH, ACK] Seq=1 Ack=250 Win=147456 Len=444 [TCP PDU reassembled in 837]</t>
  </si>
  <si>
    <t>80  &gt;  59426 [ACK] Seq=445 Ack=250 Win=147456 Len=1456 [TCP PDU reassembled in 837]</t>
  </si>
  <si>
    <t>80  &gt;  59426 [PSH, ACK] Seq=1901 Ack=250 Win=147456 Len=1456 [TCP PDU reassembled in 837]</t>
  </si>
  <si>
    <t>80  &gt;  59426 [ACK] Seq=3357 Ack=250 Win=147456 Len=1456 [TCP PDU reassembled in 837]</t>
  </si>
  <si>
    <t>80  &gt;  59426 [PSH, ACK] Seq=4813 Ack=250 Win=147456 Len=1456 [TCP PDU reassembled in 837]</t>
  </si>
  <si>
    <t>80  &gt;  59426 [ACK] Seq=6269 Ack=250 Win=147456 Len=1456 [TCP PDU reassembled in 837]</t>
  </si>
  <si>
    <t>HTTP/1.1 200 OK  (application/vnd.ms-cab-compressed)</t>
  </si>
  <si>
    <t>59426  &gt;  80 [ACK] Seq=250 Ack=7742 Win=131328 Len=0</t>
  </si>
  <si>
    <t xml:space="preserve">GET /c/msdownload/update/others/2025/03/42920404_623f8f38cf77de48bdfa69f61cb7a7875c95503d.cab HTTP/1.1 </t>
  </si>
  <si>
    <t>80  &gt;  59426 [ACK] Seq=7742 Ack=499 Win=148480 Len=0</t>
  </si>
  <si>
    <t>80  &gt;  59426 [PSH, ACK] Seq=7742 Ack=499 Win=148480 Len=444 [TCP PDU reassembled in 849]</t>
  </si>
  <si>
    <t>80  &gt;  59426 [ACK] Seq=8186 Ack=499 Win=148480 Len=1456 [TCP PDU reassembled in 849]</t>
  </si>
  <si>
    <t>59426  &gt;  80 [ACK] Seq=499 Ack=9642 Win=131328 Len=0</t>
  </si>
  <si>
    <t>80  &gt;  59426 [PSH, ACK] Seq=9642 Ack=499 Win=148480 Len=1456 [TCP PDU reassembled in 849]</t>
  </si>
  <si>
    <t>80  &gt;  59426 [ACK] Seq=11098 Ack=499 Win=148480 Len=1456 [TCP PDU reassembled in 849]</t>
  </si>
  <si>
    <t>59426  &gt;  80 [ACK] Seq=499 Ack=12554 Win=131328 Len=0</t>
  </si>
  <si>
    <t>80  &gt;  59426 [PSH, ACK] Seq=12554 Ack=499 Win=148480 Len=1456 [TCP PDU reassembled in 849]</t>
  </si>
  <si>
    <t>80  &gt;  59426 [ACK] Seq=14010 Ack=499 Win=148480 Len=1456 [TCP PDU reassembled in 849]</t>
  </si>
  <si>
    <t>59426  &gt;  80 [ACK] Seq=499 Ack=15477 Win=131328 Len=0</t>
  </si>
  <si>
    <t xml:space="preserve">GET /c/msdownload/update/others/2025/03/42920504_90cb554a011b7711e84c21d8953ca2e78f4bb7db.cab HTTP/1.1 </t>
  </si>
  <si>
    <t>80  &gt;  59426 [ACK] Seq=15477 Ack=748 Win=149504 Len=0</t>
  </si>
  <si>
    <t>80  &gt;  59426 [PSH, ACK] Seq=15477 Ack=748 Win=149504 Len=445 [TCP PDU reassembled in 864]</t>
  </si>
  <si>
    <t>80  &gt;  59426 [ACK] Seq=15922 Ack=748 Win=149504 Len=1456 [TCP PDU reassembled in 864]</t>
  </si>
  <si>
    <t>59426  &gt;  80 [ACK] Seq=748 Ack=17378 Win=131328 Len=0</t>
  </si>
  <si>
    <t>80  &gt;  59426 [PSH, ACK] Seq=17378 Ack=748 Win=149504 Len=1456 [TCP PDU reassembled in 864]</t>
  </si>
  <si>
    <t>80  &gt;  59426 [ACK] Seq=18834 Ack=748 Win=149504 Len=1456 [TCP PDU reassembled in 864]</t>
  </si>
  <si>
    <t>59426  &gt;  80 [ACK] Seq=748 Ack=20290 Win=131328 Len=0</t>
  </si>
  <si>
    <t>80  &gt;  59426 [PSH, ACK] Seq=20290 Ack=748 Win=149504 Len=1456 [TCP PDU reassembled in 864]</t>
  </si>
  <si>
    <t>80  &gt;  59426 [ACK] Seq=21746 Ack=748 Win=149504 Len=1456 [TCP PDU reassembled in 864]</t>
  </si>
  <si>
    <t>59426  &gt;  80 [ACK] Seq=748 Ack=23202 Win=131328 Len=0</t>
  </si>
  <si>
    <t>80  &gt;  59426 [PSH, ACK] Seq=23202 Ack=748 Win=149504 Len=1456 [TCP PDU reassembled in 864]</t>
  </si>
  <si>
    <t>80  &gt;  59426 [ACK] Seq=24658 Ack=748 Win=149504 Len=1456 [TCP PDU reassembled in 864]</t>
  </si>
  <si>
    <t>59426  &gt;  80 [ACK] Seq=748 Ack=26345 Win=131328 Len=0</t>
  </si>
  <si>
    <t>443  &gt;  59421 [ACK] Seq=65610 Ack=25049 Win=65280 Len=0</t>
  </si>
  <si>
    <t>443  &gt;  59421 [ACK] Seq=65610 Ack=25049 Win=65280 Len=1460 [TCP PDU reassembled in 871]</t>
  </si>
  <si>
    <t>443  &gt;  59421 [ACK] Seq=67070 Ack=25049 Win=65280 Len=1460 [TCP PDU reassembled in 871]</t>
  </si>
  <si>
    <t>59421  &gt;  443 [ACK] Seq=25049 Ack=68590 Win=131328 Len=0</t>
  </si>
  <si>
    <t>443  &gt;  59421 [ACK] Seq=68590 Ack=36387 Win=65280 Len=0</t>
  </si>
  <si>
    <t>443  &gt;  59421 [ACK] Seq=68590 Ack=36387 Win=65280 Len=1460 [TCP PDU reassembled in 878]</t>
  </si>
  <si>
    <t>59421  &gt;  443 [ACK] Seq=36387 Ack=70545 Win=131328 Len=0</t>
  </si>
  <si>
    <t>443  &gt;  59421 [ACK] Seq=70545 Ack=46685 Win=65280 Len=0</t>
  </si>
  <si>
    <t>59426  &gt;  80 [FIN, ACK] Seq=748 Ack=26345 Win=131328 Len=0</t>
  </si>
  <si>
    <t>80  &gt;  59426 [ACK] Seq=26345 Ack=749 Win=149504 Len=0</t>
  </si>
  <si>
    <t>80  &gt;  59426 [FIN, ACK] Seq=26345 Ack=749 Win=149504 Len=0</t>
  </si>
  <si>
    <t>59426  &gt;  80 [ACK] Seq=749 Ack=26346 Win=131328 Len=0</t>
  </si>
  <si>
    <t>59421  &gt;  443 [ACK] Seq=47744 Ack=71305 Win=130560 Len=0</t>
  </si>
  <si>
    <t>443  &gt;  59421 [ACK] Seq=71305 Ack=49334 Win=65280 Len=0</t>
  </si>
  <si>
    <t>443  &gt;  59421 [ACK] Seq=71305 Ack=49334 Win=65280 Len=1460 [TCP PDU reassembled in 910]</t>
  </si>
  <si>
    <t>443  &gt;  59421 [ACK] Seq=72765 Ack=49334 Win=65280 Len=1460 [TCP PDU reassembled in 910]</t>
  </si>
  <si>
    <t>59421  &gt;  443 [ACK] Seq=49334 Ack=74225 Win=131328 Len=0</t>
  </si>
  <si>
    <t>443  &gt;  59421 [ACK] Seq=74225 Ack=49334 Win=65280 Len=1460 [TCP PDU reassembled in 910]</t>
  </si>
  <si>
    <t>443  &gt;  59421 [ACK] Seq=75685 Ack=49334 Win=65280 Len=1460 [TCP PDU reassembled in 910]</t>
  </si>
  <si>
    <t>59421  &gt;  443 [ACK] Seq=49334 Ack=77145 Win=131328 Len=0</t>
  </si>
  <si>
    <t>443  &gt;  59421 [ACK] Seq=77145 Ack=49334 Win=65280 Len=1460 [TCP PDU reassembled in 910]</t>
  </si>
  <si>
    <t>443  &gt;  59421 [ACK] Seq=78605 Ack=49334 Win=65280 Len=1460 [TCP PDU reassembled in 910]</t>
  </si>
  <si>
    <t>59421  &gt;  443 [ACK] Seq=49334 Ack=80065 Win=131328 Len=0</t>
  </si>
  <si>
    <t>443  &gt;  59421 [ACK] Seq=80065 Ack=49334 Win=65280 Len=1460 [TCP PDU reassembled in 910]</t>
  </si>
  <si>
    <t>443  &gt;  59421 [ACK] Seq=81525 Ack=49334 Win=65280 Len=1460 [TCP PDU reassembled in 910]</t>
  </si>
  <si>
    <t>59421  &gt;  443 [ACK] Seq=49334 Ack=82985 Win=131328 Len=0</t>
  </si>
  <si>
    <t>443  &gt;  59421 [ACK] Seq=82985 Ack=49334 Win=65280 Len=1460 [TCP PDU reassembled in 910]</t>
  </si>
  <si>
    <t>443  &gt;  59421 [ACK] Seq=84445 Ack=49334 Win=65280 Len=1460 [TCP PDU reassembled in 910]</t>
  </si>
  <si>
    <t>59421  &gt;  443 [ACK] Seq=49334 Ack=85905 Win=131328 Len=0</t>
  </si>
  <si>
    <t>443  &gt;  59421 [ACK] Seq=85905 Ack=49334 Win=65280 Len=1460 [TCP PDU reassembled in 910]</t>
  </si>
  <si>
    <t>59421  &gt;  443 [ACK] Seq=49334 Ack=87801 Win=131328 Len=0</t>
  </si>
  <si>
    <t>443  &gt;  59421 [ACK] Seq=87801 Ack=49334 Win=65280 Len=1460 [TCP PDU reassembled in 916]</t>
  </si>
  <si>
    <t>443  &gt;  59421 [ACK] Seq=89261 Ack=49334 Win=65280 Len=1460 [TCP PDU reassembled in 916]</t>
  </si>
  <si>
    <t>59421  &gt;  443 [ACK] Seq=49334 Ack=90721 Win=131328 Len=0</t>
  </si>
  <si>
    <t>443  &gt;  59421 [ACK] Seq=90721 Ack=49334 Win=65280 Len=1460 [TCP PDU reassembled in 916]</t>
  </si>
  <si>
    <t>59421  &gt;  443 [ACK] Seq=49334 Ack=92701 Win=131328 Len=0</t>
  </si>
  <si>
    <t>59421  &gt;  443 [FIN, ACK] Seq=49334 Ack=92701 Win=131328 Len=0</t>
  </si>
  <si>
    <t>40.69.74.84</t>
  </si>
  <si>
    <t>59427  &gt;  443 [SYN] Seq=0 Win=64240 Len=0 MSS=1460 WS=256 SACK_PERM</t>
  </si>
  <si>
    <t>443  &gt;  59421 [FIN, ACK] Seq=92701 Ack=49335 Win=65280 Len=0</t>
  </si>
  <si>
    <t>59421  &gt;  443 [ACK] Seq=49335 Ack=92702 Win=131328 Len=0</t>
  </si>
  <si>
    <t>443  &gt;  59427 [SYN, ACK] Seq=0 Ack=1 Win=65535 Len=0 MSS=1440 WS=256 SACK_PERM</t>
  </si>
  <si>
    <t>59427  &gt;  443 [ACK] Seq=1 Ack=1 Win=132352 Len=0</t>
  </si>
  <si>
    <t>Client Hello (SNI=geo.prod.do.dsp.mp.microsoft.com)</t>
  </si>
  <si>
    <t>443  &gt;  59427 [ACK] Seq=1 Ack=218 Win=525312 Len=1460 [TCP PDU reassembled in 926]</t>
  </si>
  <si>
    <t>59427  &gt;  443 [ACK] Seq=218 Ack=2434 Win=132352 Len=0</t>
  </si>
  <si>
    <t>59427  &gt;  443 [ACK] Seq=376 Ack=2554 Win=132352 Len=0</t>
  </si>
  <si>
    <t>443  &gt;  59427 [ACK] Seq=2554 Ack=643 Win=524800 Len=0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</si>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</sst>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325120</xdr:colOff>
      <xdr:row>653</xdr:row>
      <xdr:rowOff>50800</xdr:rowOff>
    </xdr:from>
    <xdr:to>
      <xdr:col>7</xdr:col>
      <xdr:colOff>6903029</xdr:colOff>
      <xdr:row>686</xdr:row>
      <xdr:rowOff>111368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D0C9D4-B540-6581-E894-F67F5C5DF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28160" y="119471440"/>
          <a:ext cx="9006149" cy="60956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8DEBD-B5D0-448B-916B-FAC8ADD4DA3F}">
  <dimension ref="A1:M664"/>
  <sheetViews>
    <sheetView tabSelected="1" topLeftCell="F654" workbookViewId="0">
      <selection activeCell="L670" sqref="L670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10.21875" bestFit="1" customWidth="1"/>
    <col min="6" max="6" width="6.44140625" bestFit="1" customWidth="1"/>
    <col min="7" max="7" width="35.33203125" bestFit="1" customWidth="1"/>
    <col min="8" max="8" width="102.77734375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2</v>
      </c>
      <c r="B2">
        <v>1.408204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3</v>
      </c>
      <c r="B3">
        <v>1.408487</v>
      </c>
      <c r="C3" t="s">
        <v>8</v>
      </c>
      <c r="D3" t="s">
        <v>12</v>
      </c>
      <c r="E3" t="s">
        <v>10</v>
      </c>
      <c r="F3">
        <v>66</v>
      </c>
      <c r="G3">
        <v>2.8299999999999999E-4</v>
      </c>
      <c r="H3" t="s">
        <v>13</v>
      </c>
      <c r="J3">
        <f>ROUNDUP(G3,4)</f>
        <v>3.0000000000000003E-4</v>
      </c>
    </row>
    <row r="4" spans="1:10" x14ac:dyDescent="0.3">
      <c r="A4">
        <v>4</v>
      </c>
      <c r="B4">
        <v>1.9141330000000001</v>
      </c>
      <c r="C4" t="s">
        <v>8</v>
      </c>
      <c r="D4" t="s">
        <v>14</v>
      </c>
      <c r="E4" t="s">
        <v>10</v>
      </c>
      <c r="F4">
        <v>66</v>
      </c>
      <c r="G4">
        <v>0.50564600000000004</v>
      </c>
      <c r="H4" t="s">
        <v>15</v>
      </c>
      <c r="J4">
        <f t="shared" ref="J4:J67" si="0">ROUNDUP(G4,4)</f>
        <v>0.50570000000000004</v>
      </c>
    </row>
    <row r="5" spans="1:10" x14ac:dyDescent="0.3">
      <c r="A5">
        <v>6</v>
      </c>
      <c r="B5">
        <v>2.4211170000000002</v>
      </c>
      <c r="C5" t="s">
        <v>8</v>
      </c>
      <c r="D5" t="s">
        <v>9</v>
      </c>
      <c r="E5" t="s">
        <v>10</v>
      </c>
      <c r="F5">
        <v>66</v>
      </c>
      <c r="G5">
        <v>0.50698399999999999</v>
      </c>
      <c r="H5" t="s">
        <v>16</v>
      </c>
      <c r="J5">
        <f t="shared" si="0"/>
        <v>0.50700000000000001</v>
      </c>
    </row>
    <row r="6" spans="1:10" x14ac:dyDescent="0.3">
      <c r="A6">
        <v>7</v>
      </c>
      <c r="B6">
        <v>2.4211170000000002</v>
      </c>
      <c r="C6" t="s">
        <v>8</v>
      </c>
      <c r="D6" t="s">
        <v>12</v>
      </c>
      <c r="E6" t="s">
        <v>10</v>
      </c>
      <c r="F6">
        <v>66</v>
      </c>
      <c r="G6">
        <v>0</v>
      </c>
      <c r="H6" t="s">
        <v>17</v>
      </c>
      <c r="J6">
        <f t="shared" si="0"/>
        <v>0</v>
      </c>
    </row>
    <row r="7" spans="1:10" x14ac:dyDescent="0.3">
      <c r="A7">
        <v>8</v>
      </c>
      <c r="B7">
        <v>2.920671</v>
      </c>
      <c r="C7" t="s">
        <v>8</v>
      </c>
      <c r="D7" t="s">
        <v>14</v>
      </c>
      <c r="E7" t="s">
        <v>10</v>
      </c>
      <c r="F7">
        <v>66</v>
      </c>
      <c r="G7">
        <v>0.499554</v>
      </c>
      <c r="H7" t="s">
        <v>18</v>
      </c>
      <c r="J7">
        <f t="shared" si="0"/>
        <v>0.49959999999999999</v>
      </c>
    </row>
    <row r="8" spans="1:10" x14ac:dyDescent="0.3">
      <c r="A8">
        <v>9</v>
      </c>
      <c r="B8">
        <v>3.9680209999999998</v>
      </c>
      <c r="C8" t="s">
        <v>8</v>
      </c>
      <c r="D8" t="s">
        <v>19</v>
      </c>
      <c r="E8" t="s">
        <v>20</v>
      </c>
      <c r="F8">
        <v>105</v>
      </c>
      <c r="G8">
        <v>1.04735</v>
      </c>
      <c r="H8" t="s">
        <v>21</v>
      </c>
      <c r="J8">
        <f t="shared" si="0"/>
        <v>1.0473999999999999</v>
      </c>
    </row>
    <row r="9" spans="1:10" x14ac:dyDescent="0.3">
      <c r="A9">
        <v>11</v>
      </c>
      <c r="B9">
        <v>3.997436</v>
      </c>
      <c r="C9" t="s">
        <v>19</v>
      </c>
      <c r="D9" t="s">
        <v>8</v>
      </c>
      <c r="E9" t="s">
        <v>10</v>
      </c>
      <c r="F9">
        <v>60</v>
      </c>
      <c r="G9">
        <v>2.9415E-2</v>
      </c>
      <c r="H9" t="s">
        <v>22</v>
      </c>
      <c r="J9">
        <f t="shared" si="0"/>
        <v>2.9499999999999998E-2</v>
      </c>
    </row>
    <row r="10" spans="1:10" x14ac:dyDescent="0.3">
      <c r="A10">
        <v>12</v>
      </c>
      <c r="B10">
        <v>4.0091070000000002</v>
      </c>
      <c r="C10" t="s">
        <v>19</v>
      </c>
      <c r="D10" t="s">
        <v>8</v>
      </c>
      <c r="E10" t="s">
        <v>20</v>
      </c>
      <c r="F10">
        <v>135</v>
      </c>
      <c r="G10">
        <v>1.1671000000000001E-2</v>
      </c>
      <c r="H10" t="s">
        <v>21</v>
      </c>
      <c r="J10">
        <f t="shared" si="0"/>
        <v>1.1699999999999999E-2</v>
      </c>
    </row>
    <row r="11" spans="1:10" x14ac:dyDescent="0.3">
      <c r="A11">
        <v>13</v>
      </c>
      <c r="B11">
        <v>4.0091429999999999</v>
      </c>
      <c r="C11" t="s">
        <v>19</v>
      </c>
      <c r="D11" t="s">
        <v>8</v>
      </c>
      <c r="E11" t="s">
        <v>20</v>
      </c>
      <c r="F11">
        <v>99</v>
      </c>
      <c r="G11">
        <v>3.6000000000000001E-5</v>
      </c>
      <c r="H11" t="s">
        <v>21</v>
      </c>
      <c r="J11">
        <f t="shared" si="0"/>
        <v>1E-4</v>
      </c>
    </row>
    <row r="12" spans="1:10" x14ac:dyDescent="0.3">
      <c r="A12">
        <v>14</v>
      </c>
      <c r="B12">
        <v>4.0091530000000004</v>
      </c>
      <c r="C12" t="s">
        <v>8</v>
      </c>
      <c r="D12" t="s">
        <v>19</v>
      </c>
      <c r="E12" t="s">
        <v>10</v>
      </c>
      <c r="F12">
        <v>54</v>
      </c>
      <c r="G12">
        <v>1.0000000000000001E-5</v>
      </c>
      <c r="H12" t="s">
        <v>23</v>
      </c>
      <c r="J12">
        <f t="shared" si="0"/>
        <v>1E-4</v>
      </c>
    </row>
    <row r="13" spans="1:10" x14ac:dyDescent="0.3">
      <c r="A13">
        <v>15</v>
      </c>
      <c r="B13">
        <v>4.0092049999999997</v>
      </c>
      <c r="C13" t="s">
        <v>19</v>
      </c>
      <c r="D13" t="s">
        <v>8</v>
      </c>
      <c r="E13" t="s">
        <v>20</v>
      </c>
      <c r="F13">
        <v>85</v>
      </c>
      <c r="G13">
        <v>5.1999999999999997E-5</v>
      </c>
      <c r="H13" t="s">
        <v>21</v>
      </c>
      <c r="J13">
        <f t="shared" si="0"/>
        <v>1E-4</v>
      </c>
    </row>
    <row r="14" spans="1:10" x14ac:dyDescent="0.3">
      <c r="A14">
        <v>16</v>
      </c>
      <c r="B14">
        <v>4.0095559999999999</v>
      </c>
      <c r="C14" t="s">
        <v>8</v>
      </c>
      <c r="D14" t="s">
        <v>19</v>
      </c>
      <c r="E14" t="s">
        <v>20</v>
      </c>
      <c r="F14">
        <v>89</v>
      </c>
      <c r="G14">
        <v>3.5100000000000002E-4</v>
      </c>
      <c r="H14" t="s">
        <v>21</v>
      </c>
      <c r="J14">
        <f t="shared" si="0"/>
        <v>3.9999999999999996E-4</v>
      </c>
    </row>
    <row r="15" spans="1:10" x14ac:dyDescent="0.3">
      <c r="A15">
        <v>17</v>
      </c>
      <c r="B15">
        <v>4.0126059999999999</v>
      </c>
      <c r="C15" t="s">
        <v>8</v>
      </c>
      <c r="D15" t="s">
        <v>24</v>
      </c>
      <c r="E15" t="s">
        <v>20</v>
      </c>
      <c r="F15">
        <v>153</v>
      </c>
      <c r="G15">
        <v>3.0500000000000002E-3</v>
      </c>
      <c r="H15" t="s">
        <v>21</v>
      </c>
      <c r="J15">
        <f t="shared" si="0"/>
        <v>3.0999999999999999E-3</v>
      </c>
    </row>
    <row r="16" spans="1:10" x14ac:dyDescent="0.3">
      <c r="A16">
        <v>18</v>
      </c>
      <c r="B16">
        <v>4.0775639999999997</v>
      </c>
      <c r="C16" t="s">
        <v>8</v>
      </c>
      <c r="D16" t="s">
        <v>25</v>
      </c>
      <c r="E16" t="s">
        <v>10</v>
      </c>
      <c r="F16">
        <v>66</v>
      </c>
      <c r="G16">
        <v>6.4958000000000002E-2</v>
      </c>
      <c r="H16" t="s">
        <v>26</v>
      </c>
      <c r="J16">
        <f t="shared" si="0"/>
        <v>6.5000000000000002E-2</v>
      </c>
    </row>
    <row r="17" spans="1:10" x14ac:dyDescent="0.3">
      <c r="A17">
        <v>19</v>
      </c>
      <c r="B17">
        <v>4.0779730000000001</v>
      </c>
      <c r="C17" t="s">
        <v>25</v>
      </c>
      <c r="D17" t="s">
        <v>8</v>
      </c>
      <c r="E17" t="s">
        <v>10</v>
      </c>
      <c r="F17">
        <v>66</v>
      </c>
      <c r="G17">
        <v>4.0900000000000002E-4</v>
      </c>
      <c r="H17" t="s">
        <v>27</v>
      </c>
      <c r="J17">
        <f t="shared" si="0"/>
        <v>5.0000000000000001E-4</v>
      </c>
    </row>
    <row r="18" spans="1:10" x14ac:dyDescent="0.3">
      <c r="A18">
        <v>20</v>
      </c>
      <c r="B18">
        <v>4.078017</v>
      </c>
      <c r="C18" t="s">
        <v>8</v>
      </c>
      <c r="D18" t="s">
        <v>25</v>
      </c>
      <c r="E18" t="s">
        <v>10</v>
      </c>
      <c r="F18">
        <v>54</v>
      </c>
      <c r="G18">
        <v>4.3999999999999999E-5</v>
      </c>
      <c r="H18" t="s">
        <v>28</v>
      </c>
      <c r="J18">
        <f t="shared" si="0"/>
        <v>1E-4</v>
      </c>
    </row>
    <row r="19" spans="1:10" x14ac:dyDescent="0.3">
      <c r="A19">
        <v>21</v>
      </c>
      <c r="B19">
        <v>4.0792869999999999</v>
      </c>
      <c r="C19" t="s">
        <v>19</v>
      </c>
      <c r="D19" t="s">
        <v>8</v>
      </c>
      <c r="E19" t="s">
        <v>10</v>
      </c>
      <c r="F19">
        <v>60</v>
      </c>
      <c r="G19">
        <v>1.2700000000000001E-3</v>
      </c>
      <c r="H19" t="s">
        <v>29</v>
      </c>
      <c r="J19">
        <f t="shared" si="0"/>
        <v>1.2999999999999999E-3</v>
      </c>
    </row>
    <row r="20" spans="1:10" x14ac:dyDescent="0.3">
      <c r="A20">
        <v>22</v>
      </c>
      <c r="B20">
        <v>4.0890269999999997</v>
      </c>
      <c r="C20" t="s">
        <v>8</v>
      </c>
      <c r="D20" t="s">
        <v>25</v>
      </c>
      <c r="E20" t="s">
        <v>30</v>
      </c>
      <c r="F20">
        <v>108</v>
      </c>
      <c r="G20">
        <v>9.7400000000000004E-3</v>
      </c>
      <c r="H20" t="s">
        <v>31</v>
      </c>
      <c r="J20">
        <f t="shared" si="0"/>
        <v>9.7999999999999997E-3</v>
      </c>
    </row>
    <row r="21" spans="1:10" x14ac:dyDescent="0.3">
      <c r="A21">
        <v>23</v>
      </c>
      <c r="B21">
        <v>4.0913750000000002</v>
      </c>
      <c r="C21" t="s">
        <v>25</v>
      </c>
      <c r="D21" t="s">
        <v>8</v>
      </c>
      <c r="E21" t="s">
        <v>10</v>
      </c>
      <c r="F21">
        <v>60</v>
      </c>
      <c r="G21">
        <v>2.3479999999999998E-3</v>
      </c>
      <c r="H21" t="s">
        <v>32</v>
      </c>
      <c r="J21">
        <f t="shared" si="0"/>
        <v>2.3999999999999998E-3</v>
      </c>
    </row>
    <row r="22" spans="1:10" x14ac:dyDescent="0.3">
      <c r="A22">
        <v>24</v>
      </c>
      <c r="B22">
        <v>4.0913750000000002</v>
      </c>
      <c r="C22" t="s">
        <v>25</v>
      </c>
      <c r="D22" t="s">
        <v>8</v>
      </c>
      <c r="E22" t="s">
        <v>30</v>
      </c>
      <c r="F22">
        <v>60</v>
      </c>
      <c r="G22">
        <v>0</v>
      </c>
      <c r="H22" t="s">
        <v>33</v>
      </c>
      <c r="J22">
        <f t="shared" si="0"/>
        <v>0</v>
      </c>
    </row>
    <row r="23" spans="1:10" x14ac:dyDescent="0.3">
      <c r="A23">
        <v>25</v>
      </c>
      <c r="B23">
        <v>4.0923369999999997</v>
      </c>
      <c r="C23" t="s">
        <v>8</v>
      </c>
      <c r="D23" t="s">
        <v>25</v>
      </c>
      <c r="E23" t="s">
        <v>30</v>
      </c>
      <c r="F23">
        <v>78</v>
      </c>
      <c r="G23">
        <v>9.6199999999999996E-4</v>
      </c>
      <c r="H23" t="s">
        <v>34</v>
      </c>
      <c r="J23">
        <f t="shared" si="0"/>
        <v>1E-3</v>
      </c>
    </row>
    <row r="24" spans="1:10" x14ac:dyDescent="0.3">
      <c r="A24">
        <v>26</v>
      </c>
      <c r="B24">
        <v>4.0941219999999996</v>
      </c>
      <c r="C24" t="s">
        <v>25</v>
      </c>
      <c r="D24" t="s">
        <v>8</v>
      </c>
      <c r="E24" t="s">
        <v>30</v>
      </c>
      <c r="F24">
        <v>60</v>
      </c>
      <c r="G24">
        <v>1.7849999999999999E-3</v>
      </c>
      <c r="H24" t="s">
        <v>35</v>
      </c>
      <c r="J24">
        <f t="shared" si="0"/>
        <v>1.8E-3</v>
      </c>
    </row>
    <row r="25" spans="1:10" x14ac:dyDescent="0.3">
      <c r="A25">
        <v>27</v>
      </c>
      <c r="B25">
        <v>4.09415</v>
      </c>
      <c r="C25" t="s">
        <v>8</v>
      </c>
      <c r="D25" t="s">
        <v>25</v>
      </c>
      <c r="E25" t="s">
        <v>30</v>
      </c>
      <c r="F25">
        <v>97</v>
      </c>
      <c r="G25">
        <v>2.8E-5</v>
      </c>
      <c r="H25" t="s">
        <v>36</v>
      </c>
      <c r="J25">
        <f t="shared" si="0"/>
        <v>1E-4</v>
      </c>
    </row>
    <row r="26" spans="1:10" x14ac:dyDescent="0.3">
      <c r="A26">
        <v>28</v>
      </c>
      <c r="B26">
        <v>4.0963520000000004</v>
      </c>
      <c r="C26" t="s">
        <v>25</v>
      </c>
      <c r="D26" t="s">
        <v>8</v>
      </c>
      <c r="E26" t="s">
        <v>30</v>
      </c>
      <c r="F26">
        <v>60</v>
      </c>
      <c r="G26">
        <v>2.202E-3</v>
      </c>
      <c r="H26" t="s">
        <v>37</v>
      </c>
      <c r="J26">
        <f t="shared" si="0"/>
        <v>2.3E-3</v>
      </c>
    </row>
    <row r="27" spans="1:10" x14ac:dyDescent="0.3">
      <c r="A27">
        <v>29</v>
      </c>
      <c r="B27">
        <v>4.0966120000000004</v>
      </c>
      <c r="C27" t="s">
        <v>25</v>
      </c>
      <c r="D27" t="s">
        <v>8</v>
      </c>
      <c r="E27" t="s">
        <v>30</v>
      </c>
      <c r="F27">
        <v>60</v>
      </c>
      <c r="G27">
        <v>2.5999999999999998E-4</v>
      </c>
      <c r="H27" t="s">
        <v>38</v>
      </c>
      <c r="J27">
        <f t="shared" si="0"/>
        <v>3.0000000000000003E-4</v>
      </c>
    </row>
    <row r="28" spans="1:10" x14ac:dyDescent="0.3">
      <c r="A28">
        <v>30</v>
      </c>
      <c r="B28">
        <v>4.0966180000000003</v>
      </c>
      <c r="C28" t="s">
        <v>8</v>
      </c>
      <c r="D28" t="s">
        <v>25</v>
      </c>
      <c r="E28" t="s">
        <v>10</v>
      </c>
      <c r="F28">
        <v>54</v>
      </c>
      <c r="G28">
        <v>6.0000000000000002E-6</v>
      </c>
      <c r="H28" t="s">
        <v>39</v>
      </c>
      <c r="J28">
        <f t="shared" si="0"/>
        <v>1E-4</v>
      </c>
    </row>
    <row r="29" spans="1:10" x14ac:dyDescent="0.3">
      <c r="A29">
        <v>31</v>
      </c>
      <c r="B29">
        <v>4.107545</v>
      </c>
      <c r="C29" t="s">
        <v>24</v>
      </c>
      <c r="D29" t="s">
        <v>8</v>
      </c>
      <c r="E29" t="s">
        <v>20</v>
      </c>
      <c r="F29">
        <v>223</v>
      </c>
      <c r="G29">
        <v>1.0926999999999999E-2</v>
      </c>
      <c r="H29" t="s">
        <v>21</v>
      </c>
      <c r="J29">
        <f t="shared" si="0"/>
        <v>1.0999999999999999E-2</v>
      </c>
    </row>
    <row r="30" spans="1:10" x14ac:dyDescent="0.3">
      <c r="A30">
        <v>32</v>
      </c>
      <c r="B30">
        <v>4.1502140000000001</v>
      </c>
      <c r="C30" t="s">
        <v>8</v>
      </c>
      <c r="D30" t="s">
        <v>24</v>
      </c>
      <c r="E30" t="s">
        <v>10</v>
      </c>
      <c r="F30">
        <v>54</v>
      </c>
      <c r="G30">
        <v>4.2668999999999999E-2</v>
      </c>
      <c r="H30" t="s">
        <v>40</v>
      </c>
      <c r="J30">
        <f t="shared" si="0"/>
        <v>4.2700000000000002E-2</v>
      </c>
    </row>
    <row r="31" spans="1:10" x14ac:dyDescent="0.3">
      <c r="A31">
        <v>33</v>
      </c>
      <c r="B31">
        <v>4.4266490000000003</v>
      </c>
      <c r="C31" t="s">
        <v>8</v>
      </c>
      <c r="D31" t="s">
        <v>12</v>
      </c>
      <c r="E31" t="s">
        <v>10</v>
      </c>
      <c r="F31">
        <v>66</v>
      </c>
      <c r="G31">
        <v>0.27643499999999999</v>
      </c>
      <c r="H31" t="s">
        <v>17</v>
      </c>
      <c r="J31">
        <f t="shared" si="0"/>
        <v>0.27649999999999997</v>
      </c>
    </row>
    <row r="32" spans="1:10" x14ac:dyDescent="0.3">
      <c r="A32">
        <v>34</v>
      </c>
      <c r="B32">
        <v>4.4266490000000003</v>
      </c>
      <c r="C32" t="s">
        <v>8</v>
      </c>
      <c r="D32" t="s">
        <v>9</v>
      </c>
      <c r="E32" t="s">
        <v>10</v>
      </c>
      <c r="F32">
        <v>66</v>
      </c>
      <c r="G32">
        <v>0</v>
      </c>
      <c r="H32" t="s">
        <v>16</v>
      </c>
      <c r="J32">
        <f t="shared" si="0"/>
        <v>0</v>
      </c>
    </row>
    <row r="33" spans="1:10" x14ac:dyDescent="0.3">
      <c r="A33">
        <v>35</v>
      </c>
      <c r="B33">
        <v>4.9327540000000001</v>
      </c>
      <c r="C33" t="s">
        <v>8</v>
      </c>
      <c r="D33" t="s">
        <v>14</v>
      </c>
      <c r="E33" t="s">
        <v>10</v>
      </c>
      <c r="F33">
        <v>66</v>
      </c>
      <c r="G33">
        <v>0.50610500000000003</v>
      </c>
      <c r="H33" t="s">
        <v>18</v>
      </c>
      <c r="J33">
        <f t="shared" si="0"/>
        <v>0.50619999999999998</v>
      </c>
    </row>
    <row r="34" spans="1:10" x14ac:dyDescent="0.3">
      <c r="A34">
        <v>40</v>
      </c>
      <c r="B34">
        <v>5.1712790000000002</v>
      </c>
      <c r="C34" t="s">
        <v>8</v>
      </c>
      <c r="D34" t="s">
        <v>41</v>
      </c>
      <c r="E34" t="s">
        <v>10</v>
      </c>
      <c r="F34">
        <v>66</v>
      </c>
      <c r="G34">
        <v>0.23852499999999999</v>
      </c>
      <c r="H34" t="s">
        <v>42</v>
      </c>
      <c r="J34">
        <f t="shared" si="0"/>
        <v>0.23859999999999998</v>
      </c>
    </row>
    <row r="35" spans="1:10" x14ac:dyDescent="0.3">
      <c r="A35">
        <v>41</v>
      </c>
      <c r="B35">
        <v>5.4077479999999998</v>
      </c>
      <c r="C35" t="s">
        <v>41</v>
      </c>
      <c r="D35" t="s">
        <v>8</v>
      </c>
      <c r="E35" t="s">
        <v>10</v>
      </c>
      <c r="F35">
        <v>66</v>
      </c>
      <c r="G35">
        <v>0.23646900000000001</v>
      </c>
      <c r="H35" t="s">
        <v>43</v>
      </c>
      <c r="J35">
        <f t="shared" si="0"/>
        <v>0.23649999999999999</v>
      </c>
    </row>
    <row r="36" spans="1:10" x14ac:dyDescent="0.3">
      <c r="A36">
        <v>42</v>
      </c>
      <c r="B36">
        <v>5.4078090000000003</v>
      </c>
      <c r="C36" t="s">
        <v>8</v>
      </c>
      <c r="D36" t="s">
        <v>41</v>
      </c>
      <c r="E36" t="s">
        <v>10</v>
      </c>
      <c r="F36">
        <v>54</v>
      </c>
      <c r="G36">
        <v>6.0999999999999999E-5</v>
      </c>
      <c r="H36" t="s">
        <v>44</v>
      </c>
      <c r="J36">
        <f t="shared" si="0"/>
        <v>1E-4</v>
      </c>
    </row>
    <row r="37" spans="1:10" x14ac:dyDescent="0.3">
      <c r="A37">
        <v>43</v>
      </c>
      <c r="B37">
        <v>5.4082759999999999</v>
      </c>
      <c r="C37" t="s">
        <v>8</v>
      </c>
      <c r="D37" t="s">
        <v>41</v>
      </c>
      <c r="E37" t="s">
        <v>45</v>
      </c>
      <c r="F37">
        <v>1891</v>
      </c>
      <c r="G37">
        <v>4.6700000000000002E-4</v>
      </c>
      <c r="H37" t="s">
        <v>46</v>
      </c>
      <c r="J37">
        <f t="shared" si="0"/>
        <v>5.0000000000000001E-4</v>
      </c>
    </row>
    <row r="38" spans="1:10" x14ac:dyDescent="0.3">
      <c r="A38">
        <v>44</v>
      </c>
      <c r="B38">
        <v>5.516616</v>
      </c>
      <c r="C38" t="s">
        <v>8</v>
      </c>
      <c r="D38" t="s">
        <v>47</v>
      </c>
      <c r="E38" t="s">
        <v>10</v>
      </c>
      <c r="F38">
        <v>66</v>
      </c>
      <c r="G38">
        <v>0.10834000000000001</v>
      </c>
      <c r="H38" t="s">
        <v>48</v>
      </c>
      <c r="J38">
        <f t="shared" si="0"/>
        <v>0.1084</v>
      </c>
    </row>
    <row r="39" spans="1:10" x14ac:dyDescent="0.3">
      <c r="A39">
        <v>45</v>
      </c>
      <c r="B39">
        <v>5.6449879999999997</v>
      </c>
      <c r="C39" t="s">
        <v>41</v>
      </c>
      <c r="D39" t="s">
        <v>8</v>
      </c>
      <c r="E39" t="s">
        <v>10</v>
      </c>
      <c r="F39">
        <v>60</v>
      </c>
      <c r="G39">
        <v>0.12837199999999999</v>
      </c>
      <c r="H39" t="s">
        <v>49</v>
      </c>
      <c r="J39">
        <f t="shared" si="0"/>
        <v>0.12839999999999999</v>
      </c>
    </row>
    <row r="40" spans="1:10" x14ac:dyDescent="0.3">
      <c r="A40">
        <v>46</v>
      </c>
      <c r="B40">
        <v>5.6451130000000003</v>
      </c>
      <c r="C40" t="s">
        <v>41</v>
      </c>
      <c r="D40" t="s">
        <v>8</v>
      </c>
      <c r="E40" t="s">
        <v>45</v>
      </c>
      <c r="F40">
        <v>153</v>
      </c>
      <c r="G40">
        <v>1.25E-4</v>
      </c>
      <c r="H40" t="s">
        <v>50</v>
      </c>
      <c r="J40">
        <f t="shared" si="0"/>
        <v>2.0000000000000001E-4</v>
      </c>
    </row>
    <row r="41" spans="1:10" x14ac:dyDescent="0.3">
      <c r="A41">
        <v>47</v>
      </c>
      <c r="B41">
        <v>5.6456989999999996</v>
      </c>
      <c r="C41" t="s">
        <v>8</v>
      </c>
      <c r="D41" t="s">
        <v>41</v>
      </c>
      <c r="E41" t="s">
        <v>45</v>
      </c>
      <c r="F41">
        <v>737</v>
      </c>
      <c r="G41">
        <v>5.8600000000000004E-4</v>
      </c>
      <c r="H41" t="s">
        <v>51</v>
      </c>
      <c r="J41">
        <f t="shared" si="0"/>
        <v>6.0000000000000006E-4</v>
      </c>
    </row>
    <row r="42" spans="1:10" x14ac:dyDescent="0.3">
      <c r="A42">
        <v>48</v>
      </c>
      <c r="B42">
        <v>5.72431</v>
      </c>
      <c r="C42" t="s">
        <v>52</v>
      </c>
      <c r="D42" t="s">
        <v>8</v>
      </c>
      <c r="E42" t="s">
        <v>20</v>
      </c>
      <c r="F42">
        <v>85</v>
      </c>
      <c r="G42">
        <v>7.8611E-2</v>
      </c>
      <c r="H42" t="s">
        <v>53</v>
      </c>
      <c r="J42">
        <f t="shared" si="0"/>
        <v>7.8700000000000006E-2</v>
      </c>
    </row>
    <row r="43" spans="1:10" x14ac:dyDescent="0.3">
      <c r="A43">
        <v>49</v>
      </c>
      <c r="B43">
        <v>5.72431</v>
      </c>
      <c r="C43" t="s">
        <v>52</v>
      </c>
      <c r="D43" t="s">
        <v>8</v>
      </c>
      <c r="E43" t="s">
        <v>10</v>
      </c>
      <c r="F43">
        <v>60</v>
      </c>
      <c r="G43">
        <v>0</v>
      </c>
      <c r="H43" t="s">
        <v>54</v>
      </c>
      <c r="J43">
        <f t="shared" si="0"/>
        <v>0</v>
      </c>
    </row>
    <row r="44" spans="1:10" x14ac:dyDescent="0.3">
      <c r="A44">
        <v>50</v>
      </c>
      <c r="B44">
        <v>5.7243500000000003</v>
      </c>
      <c r="C44" t="s">
        <v>8</v>
      </c>
      <c r="D44" t="s">
        <v>52</v>
      </c>
      <c r="E44" t="s">
        <v>10</v>
      </c>
      <c r="F44">
        <v>54</v>
      </c>
      <c r="G44">
        <v>4.0000000000000003E-5</v>
      </c>
      <c r="H44" t="s">
        <v>55</v>
      </c>
      <c r="J44">
        <f t="shared" si="0"/>
        <v>1E-4</v>
      </c>
    </row>
    <row r="45" spans="1:10" x14ac:dyDescent="0.3">
      <c r="A45">
        <v>51</v>
      </c>
      <c r="B45">
        <v>5.8844120000000002</v>
      </c>
      <c r="C45" t="s">
        <v>41</v>
      </c>
      <c r="D45" t="s">
        <v>8</v>
      </c>
      <c r="E45" t="s">
        <v>45</v>
      </c>
      <c r="F45">
        <v>1514</v>
      </c>
      <c r="G45">
        <v>0.16006200000000001</v>
      </c>
      <c r="H45" t="s">
        <v>56</v>
      </c>
      <c r="J45">
        <f t="shared" si="0"/>
        <v>0.16009999999999999</v>
      </c>
    </row>
    <row r="46" spans="1:10" x14ac:dyDescent="0.3">
      <c r="A46">
        <v>52</v>
      </c>
      <c r="B46">
        <v>5.8852640000000003</v>
      </c>
      <c r="C46" t="s">
        <v>41</v>
      </c>
      <c r="D46" t="s">
        <v>8</v>
      </c>
      <c r="E46" t="s">
        <v>10</v>
      </c>
      <c r="F46">
        <v>1514</v>
      </c>
      <c r="G46">
        <v>8.52E-4</v>
      </c>
      <c r="H46" t="s">
        <v>57</v>
      </c>
      <c r="J46">
        <f t="shared" si="0"/>
        <v>9.0000000000000008E-4</v>
      </c>
    </row>
    <row r="47" spans="1:10" x14ac:dyDescent="0.3">
      <c r="A47">
        <v>53</v>
      </c>
      <c r="B47">
        <v>5.8852640000000003</v>
      </c>
      <c r="C47" t="s">
        <v>41</v>
      </c>
      <c r="D47" t="s">
        <v>8</v>
      </c>
      <c r="E47" t="s">
        <v>10</v>
      </c>
      <c r="F47">
        <v>1514</v>
      </c>
      <c r="G47">
        <v>0</v>
      </c>
      <c r="H47" t="s">
        <v>58</v>
      </c>
      <c r="J47">
        <f t="shared" si="0"/>
        <v>0</v>
      </c>
    </row>
    <row r="48" spans="1:10" x14ac:dyDescent="0.3">
      <c r="A48">
        <v>54</v>
      </c>
      <c r="B48">
        <v>5.8852640000000003</v>
      </c>
      <c r="C48" t="s">
        <v>41</v>
      </c>
      <c r="D48" t="s">
        <v>8</v>
      </c>
      <c r="E48" t="s">
        <v>10</v>
      </c>
      <c r="F48">
        <v>1514</v>
      </c>
      <c r="G48">
        <v>0</v>
      </c>
      <c r="H48" t="s">
        <v>59</v>
      </c>
      <c r="J48">
        <f t="shared" si="0"/>
        <v>0</v>
      </c>
    </row>
    <row r="49" spans="1:10" x14ac:dyDescent="0.3">
      <c r="A49">
        <v>55</v>
      </c>
      <c r="B49">
        <v>5.8852640000000003</v>
      </c>
      <c r="C49" t="s">
        <v>41</v>
      </c>
      <c r="D49" t="s">
        <v>8</v>
      </c>
      <c r="E49" t="s">
        <v>45</v>
      </c>
      <c r="F49">
        <v>620</v>
      </c>
      <c r="G49">
        <v>0</v>
      </c>
      <c r="H49" t="s">
        <v>21</v>
      </c>
      <c r="J49">
        <f t="shared" si="0"/>
        <v>0</v>
      </c>
    </row>
    <row r="50" spans="1:10" x14ac:dyDescent="0.3">
      <c r="A50">
        <v>56</v>
      </c>
      <c r="B50">
        <v>5.8852950000000002</v>
      </c>
      <c r="C50" t="s">
        <v>8</v>
      </c>
      <c r="D50" t="s">
        <v>41</v>
      </c>
      <c r="E50" t="s">
        <v>10</v>
      </c>
      <c r="F50">
        <v>54</v>
      </c>
      <c r="G50">
        <v>3.1000000000000001E-5</v>
      </c>
      <c r="H50" t="s">
        <v>60</v>
      </c>
      <c r="J50">
        <f t="shared" si="0"/>
        <v>1E-4</v>
      </c>
    </row>
    <row r="51" spans="1:10" x14ac:dyDescent="0.3">
      <c r="A51">
        <v>57</v>
      </c>
      <c r="B51">
        <v>5.8854990000000003</v>
      </c>
      <c r="C51" t="s">
        <v>8</v>
      </c>
      <c r="D51" t="s">
        <v>41</v>
      </c>
      <c r="E51" t="s">
        <v>45</v>
      </c>
      <c r="F51">
        <v>128</v>
      </c>
      <c r="G51">
        <v>2.04E-4</v>
      </c>
      <c r="H51" t="s">
        <v>21</v>
      </c>
      <c r="J51">
        <f t="shared" si="0"/>
        <v>3.0000000000000003E-4</v>
      </c>
    </row>
    <row r="52" spans="1:10" x14ac:dyDescent="0.3">
      <c r="A52">
        <v>58</v>
      </c>
      <c r="B52">
        <v>5.885599</v>
      </c>
      <c r="C52" t="s">
        <v>8</v>
      </c>
      <c r="D52" t="s">
        <v>41</v>
      </c>
      <c r="E52" t="s">
        <v>45</v>
      </c>
      <c r="F52">
        <v>146</v>
      </c>
      <c r="G52">
        <v>1E-4</v>
      </c>
      <c r="H52" t="s">
        <v>21</v>
      </c>
      <c r="J52">
        <f t="shared" si="0"/>
        <v>1E-4</v>
      </c>
    </row>
    <row r="53" spans="1:10" x14ac:dyDescent="0.3">
      <c r="A53">
        <v>59</v>
      </c>
      <c r="B53">
        <v>5.8857150000000003</v>
      </c>
      <c r="C53" t="s">
        <v>8</v>
      </c>
      <c r="D53" t="s">
        <v>41</v>
      </c>
      <c r="E53" t="s">
        <v>45</v>
      </c>
      <c r="F53">
        <v>544</v>
      </c>
      <c r="G53">
        <v>1.16E-4</v>
      </c>
      <c r="H53" t="s">
        <v>21</v>
      </c>
      <c r="J53">
        <f t="shared" si="0"/>
        <v>2.0000000000000001E-4</v>
      </c>
    </row>
    <row r="54" spans="1:10" x14ac:dyDescent="0.3">
      <c r="A54">
        <v>60</v>
      </c>
      <c r="B54">
        <v>5.8857480000000004</v>
      </c>
      <c r="C54" t="s">
        <v>8</v>
      </c>
      <c r="D54" t="s">
        <v>41</v>
      </c>
      <c r="E54" t="s">
        <v>45</v>
      </c>
      <c r="F54">
        <v>6144</v>
      </c>
      <c r="G54">
        <v>3.3000000000000003E-5</v>
      </c>
      <c r="H54" t="s">
        <v>21</v>
      </c>
      <c r="J54">
        <f t="shared" si="0"/>
        <v>1E-4</v>
      </c>
    </row>
    <row r="55" spans="1:10" x14ac:dyDescent="0.3">
      <c r="A55">
        <v>62</v>
      </c>
      <c r="B55">
        <v>6.121645</v>
      </c>
      <c r="C55" t="s">
        <v>41</v>
      </c>
      <c r="D55" t="s">
        <v>8</v>
      </c>
      <c r="E55" t="s">
        <v>10</v>
      </c>
      <c r="F55">
        <v>60</v>
      </c>
      <c r="G55">
        <v>0.235897</v>
      </c>
      <c r="H55" t="s">
        <v>61</v>
      </c>
      <c r="J55">
        <f t="shared" si="0"/>
        <v>0.2359</v>
      </c>
    </row>
    <row r="56" spans="1:10" x14ac:dyDescent="0.3">
      <c r="A56">
        <v>63</v>
      </c>
      <c r="B56">
        <v>6.1217030000000001</v>
      </c>
      <c r="C56" t="s">
        <v>41</v>
      </c>
      <c r="D56" t="s">
        <v>8</v>
      </c>
      <c r="E56" t="s">
        <v>45</v>
      </c>
      <c r="F56">
        <v>157</v>
      </c>
      <c r="G56">
        <v>5.8E-5</v>
      </c>
      <c r="H56" t="s">
        <v>21</v>
      </c>
      <c r="J56">
        <f t="shared" si="0"/>
        <v>1E-4</v>
      </c>
    </row>
    <row r="57" spans="1:10" x14ac:dyDescent="0.3">
      <c r="A57">
        <v>64</v>
      </c>
      <c r="B57">
        <v>6.1217030000000001</v>
      </c>
      <c r="C57" t="s">
        <v>41</v>
      </c>
      <c r="D57" t="s">
        <v>8</v>
      </c>
      <c r="E57" t="s">
        <v>45</v>
      </c>
      <c r="F57">
        <v>116</v>
      </c>
      <c r="G57">
        <v>0</v>
      </c>
      <c r="H57" t="s">
        <v>21</v>
      </c>
      <c r="J57">
        <f t="shared" si="0"/>
        <v>0</v>
      </c>
    </row>
    <row r="58" spans="1:10" x14ac:dyDescent="0.3">
      <c r="A58">
        <v>65</v>
      </c>
      <c r="B58">
        <v>6.1217240000000004</v>
      </c>
      <c r="C58" t="s">
        <v>8</v>
      </c>
      <c r="D58" t="s">
        <v>41</v>
      </c>
      <c r="E58" t="s">
        <v>10</v>
      </c>
      <c r="F58">
        <v>54</v>
      </c>
      <c r="G58">
        <v>2.0999999999999999E-5</v>
      </c>
      <c r="H58" t="s">
        <v>62</v>
      </c>
      <c r="J58">
        <f t="shared" si="0"/>
        <v>1E-4</v>
      </c>
    </row>
    <row r="59" spans="1:10" x14ac:dyDescent="0.3">
      <c r="A59">
        <v>66</v>
      </c>
      <c r="B59">
        <v>6.1217879999999996</v>
      </c>
      <c r="C59" t="s">
        <v>41</v>
      </c>
      <c r="D59" t="s">
        <v>8</v>
      </c>
      <c r="E59" t="s">
        <v>45</v>
      </c>
      <c r="F59">
        <v>85</v>
      </c>
      <c r="G59">
        <v>6.3999999999999997E-5</v>
      </c>
      <c r="H59" t="s">
        <v>21</v>
      </c>
      <c r="J59">
        <f t="shared" si="0"/>
        <v>1E-4</v>
      </c>
    </row>
    <row r="60" spans="1:10" x14ac:dyDescent="0.3">
      <c r="A60">
        <v>67</v>
      </c>
      <c r="B60">
        <v>6.1218820000000003</v>
      </c>
      <c r="C60" t="s">
        <v>8</v>
      </c>
      <c r="D60" t="s">
        <v>41</v>
      </c>
      <c r="E60" t="s">
        <v>45</v>
      </c>
      <c r="F60">
        <v>85</v>
      </c>
      <c r="G60">
        <v>9.3999999999999994E-5</v>
      </c>
      <c r="H60" t="s">
        <v>21</v>
      </c>
      <c r="J60">
        <f t="shared" si="0"/>
        <v>1E-4</v>
      </c>
    </row>
    <row r="61" spans="1:10" x14ac:dyDescent="0.3">
      <c r="A61">
        <v>68</v>
      </c>
      <c r="B61">
        <v>6.1220480000000004</v>
      </c>
      <c r="C61" t="s">
        <v>41</v>
      </c>
      <c r="D61" t="s">
        <v>8</v>
      </c>
      <c r="E61" t="s">
        <v>10</v>
      </c>
      <c r="F61">
        <v>60</v>
      </c>
      <c r="G61">
        <v>1.66E-4</v>
      </c>
      <c r="H61" t="s">
        <v>63</v>
      </c>
      <c r="J61">
        <f t="shared" si="0"/>
        <v>2.0000000000000001E-4</v>
      </c>
    </row>
    <row r="62" spans="1:10" x14ac:dyDescent="0.3">
      <c r="A62">
        <v>69</v>
      </c>
      <c r="B62">
        <v>6.1221030000000001</v>
      </c>
      <c r="C62" t="s">
        <v>41</v>
      </c>
      <c r="D62" t="s">
        <v>8</v>
      </c>
      <c r="E62" t="s">
        <v>10</v>
      </c>
      <c r="F62">
        <v>60</v>
      </c>
      <c r="G62">
        <v>5.5000000000000002E-5</v>
      </c>
      <c r="H62" t="s">
        <v>64</v>
      </c>
      <c r="J62">
        <f t="shared" si="0"/>
        <v>1E-4</v>
      </c>
    </row>
    <row r="63" spans="1:10" x14ac:dyDescent="0.3">
      <c r="A63">
        <v>70</v>
      </c>
      <c r="B63">
        <v>6.1221839999999998</v>
      </c>
      <c r="C63" t="s">
        <v>41</v>
      </c>
      <c r="D63" t="s">
        <v>8</v>
      </c>
      <c r="E63" t="s">
        <v>10</v>
      </c>
      <c r="F63">
        <v>60</v>
      </c>
      <c r="G63">
        <v>8.1000000000000004E-5</v>
      </c>
      <c r="H63" t="s">
        <v>65</v>
      </c>
      <c r="J63">
        <f t="shared" si="0"/>
        <v>1E-4</v>
      </c>
    </row>
    <row r="64" spans="1:10" x14ac:dyDescent="0.3">
      <c r="A64">
        <v>71</v>
      </c>
      <c r="B64">
        <v>6.1223720000000004</v>
      </c>
      <c r="C64" t="s">
        <v>41</v>
      </c>
      <c r="D64" t="s">
        <v>8</v>
      </c>
      <c r="E64" t="s">
        <v>10</v>
      </c>
      <c r="F64">
        <v>60</v>
      </c>
      <c r="G64">
        <v>1.8799999999999999E-4</v>
      </c>
      <c r="H64" t="s">
        <v>66</v>
      </c>
      <c r="J64">
        <f t="shared" si="0"/>
        <v>2.0000000000000001E-4</v>
      </c>
    </row>
    <row r="65" spans="1:10" x14ac:dyDescent="0.3">
      <c r="A65">
        <v>72</v>
      </c>
      <c r="B65">
        <v>6.1224179999999997</v>
      </c>
      <c r="C65" t="s">
        <v>41</v>
      </c>
      <c r="D65" t="s">
        <v>8</v>
      </c>
      <c r="E65" t="s">
        <v>10</v>
      </c>
      <c r="F65">
        <v>60</v>
      </c>
      <c r="G65">
        <v>4.6E-5</v>
      </c>
      <c r="H65" t="s">
        <v>67</v>
      </c>
      <c r="J65">
        <f t="shared" si="0"/>
        <v>1E-4</v>
      </c>
    </row>
    <row r="66" spans="1:10" x14ac:dyDescent="0.3">
      <c r="A66">
        <v>73</v>
      </c>
      <c r="B66">
        <v>6.3588079999999998</v>
      </c>
      <c r="C66" t="s">
        <v>41</v>
      </c>
      <c r="D66" t="s">
        <v>8</v>
      </c>
      <c r="E66" t="s">
        <v>45</v>
      </c>
      <c r="F66">
        <v>335</v>
      </c>
      <c r="G66">
        <v>0.23638999999999999</v>
      </c>
      <c r="H66" t="s">
        <v>21</v>
      </c>
      <c r="J66">
        <f t="shared" si="0"/>
        <v>0.2364</v>
      </c>
    </row>
    <row r="67" spans="1:10" x14ac:dyDescent="0.3">
      <c r="A67">
        <v>74</v>
      </c>
      <c r="B67">
        <v>6.4129110000000003</v>
      </c>
      <c r="C67" t="s">
        <v>8</v>
      </c>
      <c r="D67" t="s">
        <v>41</v>
      </c>
      <c r="E67" t="s">
        <v>10</v>
      </c>
      <c r="F67">
        <v>54</v>
      </c>
      <c r="G67">
        <v>5.4102999999999998E-2</v>
      </c>
      <c r="H67" t="s">
        <v>68</v>
      </c>
      <c r="J67">
        <f t="shared" si="0"/>
        <v>5.4200000000000005E-2</v>
      </c>
    </row>
    <row r="68" spans="1:10" x14ac:dyDescent="0.3">
      <c r="A68">
        <v>76</v>
      </c>
      <c r="B68">
        <v>8.0070779999999999</v>
      </c>
      <c r="C68" t="s">
        <v>8</v>
      </c>
      <c r="D68" t="s">
        <v>69</v>
      </c>
      <c r="E68" t="s">
        <v>10</v>
      </c>
      <c r="F68">
        <v>66</v>
      </c>
      <c r="G68">
        <v>1.5941669999999999</v>
      </c>
      <c r="H68" t="s">
        <v>70</v>
      </c>
      <c r="J68">
        <f t="shared" ref="J68:J131" si="1">ROUNDUP(G68,4)</f>
        <v>1.5942000000000001</v>
      </c>
    </row>
    <row r="69" spans="1:10" x14ac:dyDescent="0.3">
      <c r="A69">
        <v>77</v>
      </c>
      <c r="B69">
        <v>8.433192</v>
      </c>
      <c r="C69" t="s">
        <v>8</v>
      </c>
      <c r="D69" t="s">
        <v>9</v>
      </c>
      <c r="E69" t="s">
        <v>10</v>
      </c>
      <c r="F69">
        <v>66</v>
      </c>
      <c r="G69">
        <v>0.42611399999999999</v>
      </c>
      <c r="H69" t="s">
        <v>16</v>
      </c>
      <c r="J69">
        <f t="shared" si="1"/>
        <v>0.42619999999999997</v>
      </c>
    </row>
    <row r="70" spans="1:10" x14ac:dyDescent="0.3">
      <c r="A70">
        <v>78</v>
      </c>
      <c r="B70">
        <v>8.433192</v>
      </c>
      <c r="C70" t="s">
        <v>8</v>
      </c>
      <c r="D70" t="s">
        <v>12</v>
      </c>
      <c r="E70" t="s">
        <v>10</v>
      </c>
      <c r="F70">
        <v>66</v>
      </c>
      <c r="G70">
        <v>0</v>
      </c>
      <c r="H70" t="s">
        <v>17</v>
      </c>
      <c r="J70">
        <f t="shared" si="1"/>
        <v>0</v>
      </c>
    </row>
    <row r="71" spans="1:10" x14ac:dyDescent="0.3">
      <c r="A71">
        <v>79</v>
      </c>
      <c r="B71">
        <v>8.9379639999999991</v>
      </c>
      <c r="C71" t="s">
        <v>8</v>
      </c>
      <c r="D71" t="s">
        <v>14</v>
      </c>
      <c r="E71" t="s">
        <v>10</v>
      </c>
      <c r="F71">
        <v>66</v>
      </c>
      <c r="G71">
        <v>0.504772</v>
      </c>
      <c r="H71" t="s">
        <v>18</v>
      </c>
      <c r="J71">
        <f t="shared" si="1"/>
        <v>0.50480000000000003</v>
      </c>
    </row>
    <row r="72" spans="1:10" x14ac:dyDescent="0.3">
      <c r="A72">
        <v>80</v>
      </c>
      <c r="B72">
        <v>9.0146250000000006</v>
      </c>
      <c r="C72" t="s">
        <v>8</v>
      </c>
      <c r="D72" t="s">
        <v>69</v>
      </c>
      <c r="E72" t="s">
        <v>10</v>
      </c>
      <c r="F72">
        <v>66</v>
      </c>
      <c r="G72">
        <v>7.6661000000000007E-2</v>
      </c>
      <c r="H72" t="s">
        <v>71</v>
      </c>
      <c r="J72">
        <f t="shared" si="1"/>
        <v>7.6700000000000004E-2</v>
      </c>
    </row>
    <row r="73" spans="1:10" x14ac:dyDescent="0.3">
      <c r="A73">
        <v>82</v>
      </c>
      <c r="B73">
        <v>10.013358</v>
      </c>
      <c r="C73" t="s">
        <v>8</v>
      </c>
      <c r="D73" t="s">
        <v>19</v>
      </c>
      <c r="E73" t="s">
        <v>20</v>
      </c>
      <c r="F73">
        <v>105</v>
      </c>
      <c r="G73">
        <v>0.99873299999999998</v>
      </c>
      <c r="H73" t="s">
        <v>21</v>
      </c>
      <c r="J73">
        <f t="shared" si="1"/>
        <v>0.99880000000000002</v>
      </c>
    </row>
    <row r="74" spans="1:10" x14ac:dyDescent="0.3">
      <c r="A74">
        <v>83</v>
      </c>
      <c r="B74">
        <v>10.043339</v>
      </c>
      <c r="C74" t="s">
        <v>19</v>
      </c>
      <c r="D74" t="s">
        <v>8</v>
      </c>
      <c r="E74" t="s">
        <v>10</v>
      </c>
      <c r="F74">
        <v>60</v>
      </c>
      <c r="G74">
        <v>2.9981000000000001E-2</v>
      </c>
      <c r="H74" t="s">
        <v>72</v>
      </c>
      <c r="J74">
        <f t="shared" si="1"/>
        <v>0.03</v>
      </c>
    </row>
    <row r="75" spans="1:10" x14ac:dyDescent="0.3">
      <c r="A75">
        <v>84</v>
      </c>
      <c r="B75">
        <v>10.050651999999999</v>
      </c>
      <c r="C75" t="s">
        <v>19</v>
      </c>
      <c r="D75" t="s">
        <v>8</v>
      </c>
      <c r="E75" t="s">
        <v>20</v>
      </c>
      <c r="F75">
        <v>135</v>
      </c>
      <c r="G75">
        <v>7.3130000000000001E-3</v>
      </c>
      <c r="H75" t="s">
        <v>21</v>
      </c>
      <c r="J75">
        <f t="shared" si="1"/>
        <v>7.4000000000000003E-3</v>
      </c>
    </row>
    <row r="76" spans="1:10" x14ac:dyDescent="0.3">
      <c r="A76">
        <v>85</v>
      </c>
      <c r="B76">
        <v>10.050685</v>
      </c>
      <c r="C76" t="s">
        <v>19</v>
      </c>
      <c r="D76" t="s">
        <v>8</v>
      </c>
      <c r="E76" t="s">
        <v>20</v>
      </c>
      <c r="F76">
        <v>99</v>
      </c>
      <c r="G76">
        <v>3.3000000000000003E-5</v>
      </c>
      <c r="H76" t="s">
        <v>21</v>
      </c>
      <c r="J76">
        <f t="shared" si="1"/>
        <v>1E-4</v>
      </c>
    </row>
    <row r="77" spans="1:10" x14ac:dyDescent="0.3">
      <c r="A77">
        <v>86</v>
      </c>
      <c r="B77">
        <v>10.050694</v>
      </c>
      <c r="C77" t="s">
        <v>8</v>
      </c>
      <c r="D77" t="s">
        <v>19</v>
      </c>
      <c r="E77" t="s">
        <v>10</v>
      </c>
      <c r="F77">
        <v>54</v>
      </c>
      <c r="G77">
        <v>9.0000000000000002E-6</v>
      </c>
      <c r="H77" t="s">
        <v>73</v>
      </c>
      <c r="J77">
        <f t="shared" si="1"/>
        <v>1E-4</v>
      </c>
    </row>
    <row r="78" spans="1:10" x14ac:dyDescent="0.3">
      <c r="A78">
        <v>87</v>
      </c>
      <c r="B78">
        <v>10.051017</v>
      </c>
      <c r="C78" t="s">
        <v>19</v>
      </c>
      <c r="D78" t="s">
        <v>8</v>
      </c>
      <c r="E78" t="s">
        <v>20</v>
      </c>
      <c r="F78">
        <v>85</v>
      </c>
      <c r="G78">
        <v>3.2299999999999999E-4</v>
      </c>
      <c r="H78" t="s">
        <v>21</v>
      </c>
      <c r="J78">
        <f t="shared" si="1"/>
        <v>3.9999999999999996E-4</v>
      </c>
    </row>
    <row r="79" spans="1:10" x14ac:dyDescent="0.3">
      <c r="A79">
        <v>88</v>
      </c>
      <c r="B79">
        <v>10.051251000000001</v>
      </c>
      <c r="C79" t="s">
        <v>8</v>
      </c>
      <c r="D79" t="s">
        <v>19</v>
      </c>
      <c r="E79" t="s">
        <v>20</v>
      </c>
      <c r="F79">
        <v>89</v>
      </c>
      <c r="G79">
        <v>2.34E-4</v>
      </c>
      <c r="H79" t="s">
        <v>21</v>
      </c>
      <c r="J79">
        <f t="shared" si="1"/>
        <v>3.0000000000000003E-4</v>
      </c>
    </row>
    <row r="80" spans="1:10" x14ac:dyDescent="0.3">
      <c r="A80">
        <v>89</v>
      </c>
      <c r="B80">
        <v>10.121295999999999</v>
      </c>
      <c r="C80" t="s">
        <v>19</v>
      </c>
      <c r="D80" t="s">
        <v>8</v>
      </c>
      <c r="E80" t="s">
        <v>10</v>
      </c>
      <c r="F80">
        <v>60</v>
      </c>
      <c r="G80">
        <v>7.0044999999999996E-2</v>
      </c>
      <c r="H80" t="s">
        <v>74</v>
      </c>
      <c r="J80">
        <f t="shared" si="1"/>
        <v>7.010000000000001E-2</v>
      </c>
    </row>
    <row r="81" spans="1:10" x14ac:dyDescent="0.3">
      <c r="A81">
        <v>90</v>
      </c>
      <c r="B81">
        <v>11.026489</v>
      </c>
      <c r="C81" t="s">
        <v>8</v>
      </c>
      <c r="D81" t="s">
        <v>69</v>
      </c>
      <c r="E81" t="s">
        <v>10</v>
      </c>
      <c r="F81">
        <v>66</v>
      </c>
      <c r="G81">
        <v>0.90519300000000003</v>
      </c>
      <c r="H81" t="s">
        <v>71</v>
      </c>
      <c r="J81">
        <f t="shared" si="1"/>
        <v>0.9052</v>
      </c>
    </row>
    <row r="82" spans="1:10" x14ac:dyDescent="0.3">
      <c r="A82">
        <v>100</v>
      </c>
      <c r="B82">
        <v>12.215350000000001</v>
      </c>
      <c r="C82" t="s">
        <v>25</v>
      </c>
      <c r="D82" t="s">
        <v>8</v>
      </c>
      <c r="E82" t="s">
        <v>30</v>
      </c>
      <c r="F82">
        <v>75</v>
      </c>
      <c r="G82">
        <v>1.1888609999999999</v>
      </c>
      <c r="H82" t="s">
        <v>75</v>
      </c>
      <c r="J82">
        <f t="shared" si="1"/>
        <v>1.1889000000000001</v>
      </c>
    </row>
    <row r="83" spans="1:10" x14ac:dyDescent="0.3">
      <c r="A83">
        <v>101</v>
      </c>
      <c r="B83">
        <v>12.253845999999999</v>
      </c>
      <c r="C83" t="s">
        <v>8</v>
      </c>
      <c r="D83" t="s">
        <v>25</v>
      </c>
      <c r="E83" t="s">
        <v>30</v>
      </c>
      <c r="F83">
        <v>58</v>
      </c>
      <c r="G83">
        <v>3.8496000000000002E-2</v>
      </c>
      <c r="H83" t="s">
        <v>76</v>
      </c>
      <c r="J83">
        <f t="shared" si="1"/>
        <v>3.85E-2</v>
      </c>
    </row>
    <row r="84" spans="1:10" x14ac:dyDescent="0.3">
      <c r="A84">
        <v>102</v>
      </c>
      <c r="B84">
        <v>12.260362000000001</v>
      </c>
      <c r="C84" t="s">
        <v>8</v>
      </c>
      <c r="D84" t="s">
        <v>77</v>
      </c>
      <c r="E84" t="s">
        <v>10</v>
      </c>
      <c r="F84">
        <v>66</v>
      </c>
      <c r="G84">
        <v>6.5160000000000001E-3</v>
      </c>
      <c r="H84" t="s">
        <v>78</v>
      </c>
      <c r="J84">
        <f t="shared" si="1"/>
        <v>6.6E-3</v>
      </c>
    </row>
    <row r="85" spans="1:10" x14ac:dyDescent="0.3">
      <c r="A85">
        <v>103</v>
      </c>
      <c r="B85">
        <v>12.290728</v>
      </c>
      <c r="C85" t="s">
        <v>77</v>
      </c>
      <c r="D85" t="s">
        <v>8</v>
      </c>
      <c r="E85" t="s">
        <v>10</v>
      </c>
      <c r="F85">
        <v>66</v>
      </c>
      <c r="G85">
        <v>3.0366000000000001E-2</v>
      </c>
      <c r="H85" t="s">
        <v>79</v>
      </c>
      <c r="J85">
        <f t="shared" si="1"/>
        <v>3.04E-2</v>
      </c>
    </row>
    <row r="86" spans="1:10" x14ac:dyDescent="0.3">
      <c r="A86">
        <v>104</v>
      </c>
      <c r="B86">
        <v>12.290791</v>
      </c>
      <c r="C86" t="s">
        <v>8</v>
      </c>
      <c r="D86" t="s">
        <v>77</v>
      </c>
      <c r="E86" t="s">
        <v>10</v>
      </c>
      <c r="F86">
        <v>54</v>
      </c>
      <c r="G86">
        <v>6.3E-5</v>
      </c>
      <c r="H86" t="s">
        <v>80</v>
      </c>
      <c r="J86">
        <f t="shared" si="1"/>
        <v>1E-4</v>
      </c>
    </row>
    <row r="87" spans="1:10" x14ac:dyDescent="0.3">
      <c r="A87">
        <v>105</v>
      </c>
      <c r="B87">
        <v>12.291717999999999</v>
      </c>
      <c r="C87" t="s">
        <v>8</v>
      </c>
      <c r="D87" t="s">
        <v>77</v>
      </c>
      <c r="E87" t="s">
        <v>45</v>
      </c>
      <c r="F87">
        <v>571</v>
      </c>
      <c r="G87">
        <v>9.2699999999999998E-4</v>
      </c>
      <c r="H87" t="s">
        <v>81</v>
      </c>
      <c r="J87">
        <f t="shared" si="1"/>
        <v>1E-3</v>
      </c>
    </row>
    <row r="88" spans="1:10" x14ac:dyDescent="0.3">
      <c r="A88">
        <v>106</v>
      </c>
      <c r="B88">
        <v>12.296573</v>
      </c>
      <c r="C88" t="s">
        <v>25</v>
      </c>
      <c r="D88" t="s">
        <v>8</v>
      </c>
      <c r="E88" t="s">
        <v>10</v>
      </c>
      <c r="F88">
        <v>60</v>
      </c>
      <c r="G88">
        <v>4.8549999999999999E-3</v>
      </c>
      <c r="H88" t="s">
        <v>82</v>
      </c>
      <c r="J88">
        <f t="shared" si="1"/>
        <v>4.8999999999999998E-3</v>
      </c>
    </row>
    <row r="89" spans="1:10" x14ac:dyDescent="0.3">
      <c r="A89">
        <v>107</v>
      </c>
      <c r="B89">
        <v>12.322089</v>
      </c>
      <c r="C89" t="s">
        <v>77</v>
      </c>
      <c r="D89" t="s">
        <v>8</v>
      </c>
      <c r="E89" t="s">
        <v>10</v>
      </c>
      <c r="F89">
        <v>60</v>
      </c>
      <c r="G89">
        <v>2.5516E-2</v>
      </c>
      <c r="H89" t="s">
        <v>83</v>
      </c>
      <c r="J89">
        <f t="shared" si="1"/>
        <v>2.5599999999999998E-2</v>
      </c>
    </row>
    <row r="90" spans="1:10" x14ac:dyDescent="0.3">
      <c r="A90">
        <v>108</v>
      </c>
      <c r="B90">
        <v>12.323344000000001</v>
      </c>
      <c r="C90" t="s">
        <v>77</v>
      </c>
      <c r="D90" t="s">
        <v>8</v>
      </c>
      <c r="E90" t="s">
        <v>45</v>
      </c>
      <c r="F90">
        <v>1466</v>
      </c>
      <c r="G90">
        <v>1.255E-3</v>
      </c>
      <c r="H90" t="s">
        <v>84</v>
      </c>
      <c r="J90">
        <f t="shared" si="1"/>
        <v>1.2999999999999999E-3</v>
      </c>
    </row>
    <row r="91" spans="1:10" x14ac:dyDescent="0.3">
      <c r="A91">
        <v>109</v>
      </c>
      <c r="B91">
        <v>12.323463</v>
      </c>
      <c r="C91" t="s">
        <v>77</v>
      </c>
      <c r="D91" t="s">
        <v>8</v>
      </c>
      <c r="E91" t="s">
        <v>10</v>
      </c>
      <c r="F91">
        <v>1466</v>
      </c>
      <c r="G91">
        <v>1.1900000000000001E-4</v>
      </c>
      <c r="H91" t="s">
        <v>85</v>
      </c>
      <c r="J91">
        <f t="shared" si="1"/>
        <v>2.0000000000000001E-4</v>
      </c>
    </row>
    <row r="92" spans="1:10" x14ac:dyDescent="0.3">
      <c r="A92">
        <v>110</v>
      </c>
      <c r="B92">
        <v>12.32348</v>
      </c>
      <c r="C92" t="s">
        <v>8</v>
      </c>
      <c r="D92" t="s">
        <v>77</v>
      </c>
      <c r="E92" t="s">
        <v>10</v>
      </c>
      <c r="F92">
        <v>54</v>
      </c>
      <c r="G92">
        <v>1.7E-5</v>
      </c>
      <c r="H92" t="s">
        <v>86</v>
      </c>
      <c r="J92">
        <f t="shared" si="1"/>
        <v>1E-4</v>
      </c>
    </row>
    <row r="93" spans="1:10" x14ac:dyDescent="0.3">
      <c r="A93">
        <v>111</v>
      </c>
      <c r="B93">
        <v>12.323604</v>
      </c>
      <c r="C93" t="s">
        <v>77</v>
      </c>
      <c r="D93" t="s">
        <v>8</v>
      </c>
      <c r="E93" t="s">
        <v>10</v>
      </c>
      <c r="F93">
        <v>1466</v>
      </c>
      <c r="G93">
        <v>1.2400000000000001E-4</v>
      </c>
      <c r="H93" t="s">
        <v>87</v>
      </c>
      <c r="J93">
        <f t="shared" si="1"/>
        <v>2.0000000000000001E-4</v>
      </c>
    </row>
    <row r="94" spans="1:10" x14ac:dyDescent="0.3">
      <c r="A94">
        <v>112</v>
      </c>
      <c r="B94">
        <v>12.323604</v>
      </c>
      <c r="C94" t="s">
        <v>77</v>
      </c>
      <c r="D94" t="s">
        <v>8</v>
      </c>
      <c r="E94" t="s">
        <v>45</v>
      </c>
      <c r="F94">
        <v>329</v>
      </c>
      <c r="G94">
        <v>0</v>
      </c>
      <c r="H94" t="s">
        <v>21</v>
      </c>
      <c r="J94">
        <f t="shared" si="1"/>
        <v>0</v>
      </c>
    </row>
    <row r="95" spans="1:10" x14ac:dyDescent="0.3">
      <c r="A95">
        <v>113</v>
      </c>
      <c r="B95">
        <v>12.323622</v>
      </c>
      <c r="C95" t="s">
        <v>8</v>
      </c>
      <c r="D95" t="s">
        <v>77</v>
      </c>
      <c r="E95" t="s">
        <v>10</v>
      </c>
      <c r="F95">
        <v>54</v>
      </c>
      <c r="G95">
        <v>1.8E-5</v>
      </c>
      <c r="H95" t="s">
        <v>88</v>
      </c>
      <c r="J95">
        <f t="shared" si="1"/>
        <v>1E-4</v>
      </c>
    </row>
    <row r="96" spans="1:10" x14ac:dyDescent="0.3">
      <c r="A96">
        <v>114</v>
      </c>
      <c r="B96">
        <v>12.512124999999999</v>
      </c>
      <c r="C96" t="s">
        <v>8</v>
      </c>
      <c r="D96" t="s">
        <v>77</v>
      </c>
      <c r="E96" t="s">
        <v>45</v>
      </c>
      <c r="F96">
        <v>134</v>
      </c>
      <c r="G96">
        <v>0.188503</v>
      </c>
      <c r="H96" t="s">
        <v>89</v>
      </c>
      <c r="J96">
        <f t="shared" si="1"/>
        <v>0.18859999999999999</v>
      </c>
    </row>
    <row r="97" spans="1:10" x14ac:dyDescent="0.3">
      <c r="A97">
        <v>115</v>
      </c>
      <c r="B97">
        <v>12.512288</v>
      </c>
      <c r="C97" t="s">
        <v>8</v>
      </c>
      <c r="D97" t="s">
        <v>77</v>
      </c>
      <c r="E97" t="s">
        <v>45</v>
      </c>
      <c r="F97">
        <v>140</v>
      </c>
      <c r="G97">
        <v>1.63E-4</v>
      </c>
      <c r="H97" t="s">
        <v>21</v>
      </c>
      <c r="J97">
        <f t="shared" si="1"/>
        <v>2.0000000000000001E-4</v>
      </c>
    </row>
    <row r="98" spans="1:10" x14ac:dyDescent="0.3">
      <c r="A98">
        <v>116</v>
      </c>
      <c r="B98">
        <v>12.512354999999999</v>
      </c>
      <c r="C98" t="s">
        <v>8</v>
      </c>
      <c r="D98" t="s">
        <v>77</v>
      </c>
      <c r="E98" t="s">
        <v>45</v>
      </c>
      <c r="F98">
        <v>944</v>
      </c>
      <c r="G98">
        <v>6.7000000000000002E-5</v>
      </c>
      <c r="H98" t="s">
        <v>21</v>
      </c>
      <c r="J98">
        <f t="shared" si="1"/>
        <v>1E-4</v>
      </c>
    </row>
    <row r="99" spans="1:10" x14ac:dyDescent="0.3">
      <c r="A99">
        <v>117</v>
      </c>
      <c r="B99">
        <v>12.542603</v>
      </c>
      <c r="C99" t="s">
        <v>77</v>
      </c>
      <c r="D99" t="s">
        <v>8</v>
      </c>
      <c r="E99" t="s">
        <v>45</v>
      </c>
      <c r="F99">
        <v>702</v>
      </c>
      <c r="G99">
        <v>3.0248000000000001E-2</v>
      </c>
      <c r="H99" t="s">
        <v>90</v>
      </c>
      <c r="J99">
        <f t="shared" si="1"/>
        <v>3.0300000000000001E-2</v>
      </c>
    </row>
    <row r="100" spans="1:10" x14ac:dyDescent="0.3">
      <c r="A100">
        <v>118</v>
      </c>
      <c r="B100">
        <v>12.542603</v>
      </c>
      <c r="C100" t="s">
        <v>77</v>
      </c>
      <c r="D100" t="s">
        <v>8</v>
      </c>
      <c r="E100" t="s">
        <v>45</v>
      </c>
      <c r="F100">
        <v>85</v>
      </c>
      <c r="G100">
        <v>0</v>
      </c>
      <c r="H100" t="s">
        <v>21</v>
      </c>
      <c r="J100">
        <f t="shared" si="1"/>
        <v>0</v>
      </c>
    </row>
    <row r="101" spans="1:10" x14ac:dyDescent="0.3">
      <c r="A101">
        <v>119</v>
      </c>
      <c r="B101">
        <v>12.542643</v>
      </c>
      <c r="C101" t="s">
        <v>8</v>
      </c>
      <c r="D101" t="s">
        <v>77</v>
      </c>
      <c r="E101" t="s">
        <v>10</v>
      </c>
      <c r="F101">
        <v>54</v>
      </c>
      <c r="G101">
        <v>4.0000000000000003E-5</v>
      </c>
      <c r="H101" t="s">
        <v>91</v>
      </c>
      <c r="J101">
        <f t="shared" si="1"/>
        <v>1E-4</v>
      </c>
    </row>
    <row r="102" spans="1:10" x14ac:dyDescent="0.3">
      <c r="A102">
        <v>120</v>
      </c>
      <c r="B102">
        <v>12.542847</v>
      </c>
      <c r="C102" t="s">
        <v>8</v>
      </c>
      <c r="D102" t="s">
        <v>77</v>
      </c>
      <c r="E102" t="s">
        <v>45</v>
      </c>
      <c r="F102">
        <v>85</v>
      </c>
      <c r="G102">
        <v>2.04E-4</v>
      </c>
      <c r="H102" t="s">
        <v>21</v>
      </c>
      <c r="J102">
        <f t="shared" si="1"/>
        <v>3.0000000000000003E-4</v>
      </c>
    </row>
    <row r="103" spans="1:10" x14ac:dyDescent="0.3">
      <c r="A103">
        <v>127</v>
      </c>
      <c r="B103">
        <v>12.547419</v>
      </c>
      <c r="C103" t="s">
        <v>77</v>
      </c>
      <c r="D103" t="s">
        <v>8</v>
      </c>
      <c r="E103" t="s">
        <v>10</v>
      </c>
      <c r="F103">
        <v>60</v>
      </c>
      <c r="G103">
        <v>4.5719999999999997E-3</v>
      </c>
      <c r="H103" t="s">
        <v>92</v>
      </c>
      <c r="J103">
        <f t="shared" si="1"/>
        <v>4.5999999999999999E-3</v>
      </c>
    </row>
    <row r="104" spans="1:10" x14ac:dyDescent="0.3">
      <c r="A104">
        <v>128</v>
      </c>
      <c r="B104">
        <v>12.55153</v>
      </c>
      <c r="C104" t="s">
        <v>77</v>
      </c>
      <c r="D104" t="s">
        <v>8</v>
      </c>
      <c r="E104" t="s">
        <v>45</v>
      </c>
      <c r="F104">
        <v>304</v>
      </c>
      <c r="G104">
        <v>4.1110000000000001E-3</v>
      </c>
      <c r="H104" t="s">
        <v>21</v>
      </c>
      <c r="J104">
        <f t="shared" si="1"/>
        <v>4.2000000000000006E-3</v>
      </c>
    </row>
    <row r="105" spans="1:10" x14ac:dyDescent="0.3">
      <c r="A105">
        <v>129</v>
      </c>
      <c r="B105">
        <v>12.551742000000001</v>
      </c>
      <c r="C105" t="s">
        <v>77</v>
      </c>
      <c r="D105" t="s">
        <v>8</v>
      </c>
      <c r="E105" t="s">
        <v>45</v>
      </c>
      <c r="F105">
        <v>1168</v>
      </c>
      <c r="G105">
        <v>2.12E-4</v>
      </c>
      <c r="H105" t="s">
        <v>21</v>
      </c>
      <c r="J105">
        <f t="shared" si="1"/>
        <v>3.0000000000000003E-4</v>
      </c>
    </row>
    <row r="106" spans="1:10" x14ac:dyDescent="0.3">
      <c r="A106">
        <v>130</v>
      </c>
      <c r="B106">
        <v>12.551742000000001</v>
      </c>
      <c r="C106" t="s">
        <v>77</v>
      </c>
      <c r="D106" t="s">
        <v>8</v>
      </c>
      <c r="E106" t="s">
        <v>45</v>
      </c>
      <c r="F106">
        <v>93</v>
      </c>
      <c r="G106">
        <v>0</v>
      </c>
      <c r="H106" t="s">
        <v>21</v>
      </c>
      <c r="J106">
        <f t="shared" si="1"/>
        <v>0</v>
      </c>
    </row>
    <row r="107" spans="1:10" x14ac:dyDescent="0.3">
      <c r="A107">
        <v>131</v>
      </c>
      <c r="B107">
        <v>12.55176</v>
      </c>
      <c r="C107" t="s">
        <v>8</v>
      </c>
      <c r="D107" t="s">
        <v>77</v>
      </c>
      <c r="E107" t="s">
        <v>10</v>
      </c>
      <c r="F107">
        <v>54</v>
      </c>
      <c r="G107">
        <v>1.8E-5</v>
      </c>
      <c r="H107" t="s">
        <v>93</v>
      </c>
      <c r="J107">
        <f t="shared" si="1"/>
        <v>1E-4</v>
      </c>
    </row>
    <row r="108" spans="1:10" x14ac:dyDescent="0.3">
      <c r="A108">
        <v>132</v>
      </c>
      <c r="B108">
        <v>12.551802</v>
      </c>
      <c r="C108" t="s">
        <v>8</v>
      </c>
      <c r="D108" t="s">
        <v>77</v>
      </c>
      <c r="E108" t="s">
        <v>45</v>
      </c>
      <c r="F108">
        <v>93</v>
      </c>
      <c r="G108">
        <v>4.1999999999999998E-5</v>
      </c>
      <c r="H108" t="s">
        <v>21</v>
      </c>
      <c r="J108">
        <f t="shared" si="1"/>
        <v>1E-4</v>
      </c>
    </row>
    <row r="109" spans="1:10" x14ac:dyDescent="0.3">
      <c r="A109">
        <v>133</v>
      </c>
      <c r="B109">
        <v>12.551864</v>
      </c>
      <c r="C109" t="s">
        <v>8</v>
      </c>
      <c r="D109" t="s">
        <v>77</v>
      </c>
      <c r="E109" t="s">
        <v>45</v>
      </c>
      <c r="F109">
        <v>78</v>
      </c>
      <c r="G109">
        <v>6.2000000000000003E-5</v>
      </c>
      <c r="H109" t="s">
        <v>21</v>
      </c>
      <c r="J109">
        <f t="shared" si="1"/>
        <v>1E-4</v>
      </c>
    </row>
    <row r="110" spans="1:10" x14ac:dyDescent="0.3">
      <c r="A110">
        <v>134</v>
      </c>
      <c r="B110">
        <v>12.551907999999999</v>
      </c>
      <c r="C110" t="s">
        <v>8</v>
      </c>
      <c r="D110" t="s">
        <v>77</v>
      </c>
      <c r="E110" t="s">
        <v>10</v>
      </c>
      <c r="F110">
        <v>54</v>
      </c>
      <c r="G110">
        <v>4.3999999999999999E-5</v>
      </c>
      <c r="H110" t="s">
        <v>94</v>
      </c>
      <c r="J110">
        <f t="shared" si="1"/>
        <v>1E-4</v>
      </c>
    </row>
    <row r="111" spans="1:10" x14ac:dyDescent="0.3">
      <c r="A111">
        <v>135</v>
      </c>
      <c r="B111">
        <v>12.554073000000001</v>
      </c>
      <c r="C111" t="s">
        <v>8</v>
      </c>
      <c r="D111" t="s">
        <v>95</v>
      </c>
      <c r="E111" t="s">
        <v>10</v>
      </c>
      <c r="F111">
        <v>66</v>
      </c>
      <c r="G111">
        <v>2.1649999999999998E-3</v>
      </c>
      <c r="H111" t="s">
        <v>96</v>
      </c>
      <c r="J111">
        <f t="shared" si="1"/>
        <v>2.1999999999999997E-3</v>
      </c>
    </row>
    <row r="112" spans="1:10" x14ac:dyDescent="0.3">
      <c r="A112">
        <v>138</v>
      </c>
      <c r="B112">
        <v>12.577375</v>
      </c>
      <c r="C112" t="s">
        <v>77</v>
      </c>
      <c r="D112" t="s">
        <v>8</v>
      </c>
      <c r="E112" t="s">
        <v>10</v>
      </c>
      <c r="F112">
        <v>60</v>
      </c>
      <c r="G112">
        <v>2.3302E-2</v>
      </c>
      <c r="H112" t="s">
        <v>97</v>
      </c>
      <c r="J112">
        <f t="shared" si="1"/>
        <v>2.3400000000000001E-2</v>
      </c>
    </row>
    <row r="113" spans="1:10" x14ac:dyDescent="0.3">
      <c r="A113">
        <v>139</v>
      </c>
      <c r="B113">
        <v>12.581749</v>
      </c>
      <c r="C113" t="s">
        <v>77</v>
      </c>
      <c r="D113" t="s">
        <v>8</v>
      </c>
      <c r="E113" t="s">
        <v>10</v>
      </c>
      <c r="F113">
        <v>60</v>
      </c>
      <c r="G113">
        <v>4.3740000000000003E-3</v>
      </c>
      <c r="H113" t="s">
        <v>98</v>
      </c>
      <c r="J113">
        <f t="shared" si="1"/>
        <v>4.4000000000000003E-3</v>
      </c>
    </row>
    <row r="114" spans="1:10" x14ac:dyDescent="0.3">
      <c r="A114">
        <v>140</v>
      </c>
      <c r="B114">
        <v>12.581815000000001</v>
      </c>
      <c r="C114" t="s">
        <v>77</v>
      </c>
      <c r="D114" t="s">
        <v>8</v>
      </c>
      <c r="E114" t="s">
        <v>10</v>
      </c>
      <c r="F114">
        <v>60</v>
      </c>
      <c r="G114">
        <v>6.6000000000000005E-5</v>
      </c>
      <c r="H114" t="s">
        <v>99</v>
      </c>
      <c r="J114">
        <f t="shared" si="1"/>
        <v>1E-4</v>
      </c>
    </row>
    <row r="115" spans="1:10" x14ac:dyDescent="0.3">
      <c r="A115">
        <v>141</v>
      </c>
      <c r="B115">
        <v>12.581832</v>
      </c>
      <c r="C115" t="s">
        <v>77</v>
      </c>
      <c r="D115" t="s">
        <v>8</v>
      </c>
      <c r="E115" t="s">
        <v>10</v>
      </c>
      <c r="F115">
        <v>60</v>
      </c>
      <c r="G115">
        <v>1.7E-5</v>
      </c>
      <c r="H115" t="s">
        <v>100</v>
      </c>
      <c r="J115">
        <f t="shared" si="1"/>
        <v>1E-4</v>
      </c>
    </row>
    <row r="116" spans="1:10" x14ac:dyDescent="0.3">
      <c r="A116">
        <v>142</v>
      </c>
      <c r="B116">
        <v>12.581947</v>
      </c>
      <c r="C116" t="s">
        <v>77</v>
      </c>
      <c r="D116" t="s">
        <v>8</v>
      </c>
      <c r="E116" t="s">
        <v>10</v>
      </c>
      <c r="F116">
        <v>60</v>
      </c>
      <c r="G116">
        <v>1.15E-4</v>
      </c>
      <c r="H116" t="s">
        <v>101</v>
      </c>
      <c r="J116">
        <f t="shared" si="1"/>
        <v>2.0000000000000001E-4</v>
      </c>
    </row>
    <row r="117" spans="1:10" x14ac:dyDescent="0.3">
      <c r="A117">
        <v>143</v>
      </c>
      <c r="B117">
        <v>12.581961</v>
      </c>
      <c r="C117" t="s">
        <v>8</v>
      </c>
      <c r="D117" t="s">
        <v>77</v>
      </c>
      <c r="E117" t="s">
        <v>10</v>
      </c>
      <c r="F117">
        <v>54</v>
      </c>
      <c r="G117">
        <v>1.4E-5</v>
      </c>
      <c r="H117" t="s">
        <v>102</v>
      </c>
      <c r="J117">
        <f t="shared" si="1"/>
        <v>1E-4</v>
      </c>
    </row>
    <row r="118" spans="1:10" x14ac:dyDescent="0.3">
      <c r="A118">
        <v>144</v>
      </c>
      <c r="B118">
        <v>12.584372999999999</v>
      </c>
      <c r="C118" t="s">
        <v>95</v>
      </c>
      <c r="D118" t="s">
        <v>8</v>
      </c>
      <c r="E118" t="s">
        <v>10</v>
      </c>
      <c r="F118">
        <v>66</v>
      </c>
      <c r="G118">
        <v>2.4120000000000001E-3</v>
      </c>
      <c r="H118" t="s">
        <v>103</v>
      </c>
      <c r="J118">
        <f t="shared" si="1"/>
        <v>2.4999999999999996E-3</v>
      </c>
    </row>
    <row r="119" spans="1:10" x14ac:dyDescent="0.3">
      <c r="A119">
        <v>145</v>
      </c>
      <c r="B119">
        <v>12.584414000000001</v>
      </c>
      <c r="C119" t="s">
        <v>8</v>
      </c>
      <c r="D119" t="s">
        <v>95</v>
      </c>
      <c r="E119" t="s">
        <v>10</v>
      </c>
      <c r="F119">
        <v>54</v>
      </c>
      <c r="G119">
        <v>4.1E-5</v>
      </c>
      <c r="H119" t="s">
        <v>104</v>
      </c>
      <c r="J119">
        <f t="shared" si="1"/>
        <v>1E-4</v>
      </c>
    </row>
    <row r="120" spans="1:10" x14ac:dyDescent="0.3">
      <c r="A120">
        <v>146</v>
      </c>
      <c r="B120">
        <v>12.585038000000001</v>
      </c>
      <c r="C120" t="s">
        <v>8</v>
      </c>
      <c r="D120" t="s">
        <v>95</v>
      </c>
      <c r="E120" t="s">
        <v>45</v>
      </c>
      <c r="F120">
        <v>571</v>
      </c>
      <c r="G120">
        <v>6.2399999999999999E-4</v>
      </c>
      <c r="H120" t="s">
        <v>105</v>
      </c>
      <c r="J120">
        <f t="shared" si="1"/>
        <v>6.9999999999999999E-4</v>
      </c>
    </row>
    <row r="121" spans="1:10" x14ac:dyDescent="0.3">
      <c r="A121">
        <v>147</v>
      </c>
      <c r="B121">
        <v>12.615505000000001</v>
      </c>
      <c r="C121" t="s">
        <v>95</v>
      </c>
      <c r="D121" t="s">
        <v>8</v>
      </c>
      <c r="E121" t="s">
        <v>10</v>
      </c>
      <c r="F121">
        <v>60</v>
      </c>
      <c r="G121">
        <v>3.0467000000000001E-2</v>
      </c>
      <c r="H121" t="s">
        <v>106</v>
      </c>
      <c r="J121">
        <f t="shared" si="1"/>
        <v>3.0499999999999999E-2</v>
      </c>
    </row>
    <row r="122" spans="1:10" x14ac:dyDescent="0.3">
      <c r="A122">
        <v>148</v>
      </c>
      <c r="B122">
        <v>12.616163999999999</v>
      </c>
      <c r="C122" t="s">
        <v>95</v>
      </c>
      <c r="D122" t="s">
        <v>8</v>
      </c>
      <c r="E122" t="s">
        <v>45</v>
      </c>
      <c r="F122">
        <v>1466</v>
      </c>
      <c r="G122">
        <v>6.5899999999999997E-4</v>
      </c>
      <c r="H122" t="s">
        <v>84</v>
      </c>
      <c r="J122">
        <f t="shared" si="1"/>
        <v>6.9999999999999999E-4</v>
      </c>
    </row>
    <row r="123" spans="1:10" x14ac:dyDescent="0.3">
      <c r="A123">
        <v>149</v>
      </c>
      <c r="B123">
        <v>12.616275999999999</v>
      </c>
      <c r="C123" t="s">
        <v>95</v>
      </c>
      <c r="D123" t="s">
        <v>8</v>
      </c>
      <c r="E123" t="s">
        <v>10</v>
      </c>
      <c r="F123">
        <v>1466</v>
      </c>
      <c r="G123">
        <v>1.12E-4</v>
      </c>
      <c r="H123" t="s">
        <v>107</v>
      </c>
      <c r="J123">
        <f t="shared" si="1"/>
        <v>2.0000000000000001E-4</v>
      </c>
    </row>
    <row r="124" spans="1:10" x14ac:dyDescent="0.3">
      <c r="A124">
        <v>150</v>
      </c>
      <c r="B124">
        <v>12.616289</v>
      </c>
      <c r="C124" t="s">
        <v>8</v>
      </c>
      <c r="D124" t="s">
        <v>95</v>
      </c>
      <c r="E124" t="s">
        <v>10</v>
      </c>
      <c r="F124">
        <v>54</v>
      </c>
      <c r="G124">
        <v>1.2999999999999999E-5</v>
      </c>
      <c r="H124" t="s">
        <v>108</v>
      </c>
      <c r="J124">
        <f t="shared" si="1"/>
        <v>1E-4</v>
      </c>
    </row>
    <row r="125" spans="1:10" x14ac:dyDescent="0.3">
      <c r="A125">
        <v>151</v>
      </c>
      <c r="B125">
        <v>12.616402000000001</v>
      </c>
      <c r="C125" t="s">
        <v>95</v>
      </c>
      <c r="D125" t="s">
        <v>8</v>
      </c>
      <c r="E125" t="s">
        <v>10</v>
      </c>
      <c r="F125">
        <v>1466</v>
      </c>
      <c r="G125">
        <v>1.13E-4</v>
      </c>
      <c r="H125" t="s">
        <v>109</v>
      </c>
      <c r="J125">
        <f t="shared" si="1"/>
        <v>2.0000000000000001E-4</v>
      </c>
    </row>
    <row r="126" spans="1:10" x14ac:dyDescent="0.3">
      <c r="A126">
        <v>152</v>
      </c>
      <c r="B126">
        <v>12.616441</v>
      </c>
      <c r="C126" t="s">
        <v>95</v>
      </c>
      <c r="D126" t="s">
        <v>8</v>
      </c>
      <c r="E126" t="s">
        <v>45</v>
      </c>
      <c r="F126">
        <v>401</v>
      </c>
      <c r="G126">
        <v>3.8999999999999999E-5</v>
      </c>
      <c r="H126" t="s">
        <v>21</v>
      </c>
      <c r="J126">
        <f t="shared" si="1"/>
        <v>1E-4</v>
      </c>
    </row>
    <row r="127" spans="1:10" x14ac:dyDescent="0.3">
      <c r="A127">
        <v>153</v>
      </c>
      <c r="B127">
        <v>12.616445000000001</v>
      </c>
      <c r="C127" t="s">
        <v>8</v>
      </c>
      <c r="D127" t="s">
        <v>95</v>
      </c>
      <c r="E127" t="s">
        <v>10</v>
      </c>
      <c r="F127">
        <v>54</v>
      </c>
      <c r="G127">
        <v>3.9999999999999998E-6</v>
      </c>
      <c r="H127" t="s">
        <v>110</v>
      </c>
      <c r="J127">
        <f t="shared" si="1"/>
        <v>1E-4</v>
      </c>
    </row>
    <row r="128" spans="1:10" x14ac:dyDescent="0.3">
      <c r="A128">
        <v>154</v>
      </c>
      <c r="B128">
        <v>12.804923</v>
      </c>
      <c r="C128" t="s">
        <v>8</v>
      </c>
      <c r="D128" t="s">
        <v>95</v>
      </c>
      <c r="E128" t="s">
        <v>45</v>
      </c>
      <c r="F128">
        <v>134</v>
      </c>
      <c r="G128">
        <v>0.18847800000000001</v>
      </c>
      <c r="H128" t="s">
        <v>89</v>
      </c>
      <c r="J128">
        <f t="shared" si="1"/>
        <v>0.1885</v>
      </c>
    </row>
    <row r="129" spans="1:10" x14ac:dyDescent="0.3">
      <c r="A129">
        <v>155</v>
      </c>
      <c r="B129">
        <v>12.805020000000001</v>
      </c>
      <c r="C129" t="s">
        <v>8</v>
      </c>
      <c r="D129" t="s">
        <v>95</v>
      </c>
      <c r="E129" t="s">
        <v>45</v>
      </c>
      <c r="F129">
        <v>140</v>
      </c>
      <c r="G129">
        <v>9.7E-5</v>
      </c>
      <c r="H129" t="s">
        <v>21</v>
      </c>
      <c r="J129">
        <f t="shared" si="1"/>
        <v>1E-4</v>
      </c>
    </row>
    <row r="130" spans="1:10" x14ac:dyDescent="0.3">
      <c r="A130">
        <v>156</v>
      </c>
      <c r="B130">
        <v>12.805087</v>
      </c>
      <c r="C130" t="s">
        <v>8</v>
      </c>
      <c r="D130" t="s">
        <v>95</v>
      </c>
      <c r="E130" t="s">
        <v>45</v>
      </c>
      <c r="F130">
        <v>1195</v>
      </c>
      <c r="G130">
        <v>6.7000000000000002E-5</v>
      </c>
      <c r="H130" t="s">
        <v>21</v>
      </c>
      <c r="J130">
        <f t="shared" si="1"/>
        <v>1E-4</v>
      </c>
    </row>
    <row r="131" spans="1:10" x14ac:dyDescent="0.3">
      <c r="A131">
        <v>157</v>
      </c>
      <c r="B131">
        <v>12.835296</v>
      </c>
      <c r="C131" t="s">
        <v>95</v>
      </c>
      <c r="D131" t="s">
        <v>8</v>
      </c>
      <c r="E131" t="s">
        <v>10</v>
      </c>
      <c r="F131">
        <v>60</v>
      </c>
      <c r="G131">
        <v>3.0209E-2</v>
      </c>
      <c r="H131" t="s">
        <v>111</v>
      </c>
      <c r="J131">
        <f t="shared" si="1"/>
        <v>3.0300000000000001E-2</v>
      </c>
    </row>
    <row r="132" spans="1:10" x14ac:dyDescent="0.3">
      <c r="A132">
        <v>158</v>
      </c>
      <c r="B132">
        <v>12.835430000000001</v>
      </c>
      <c r="C132" t="s">
        <v>95</v>
      </c>
      <c r="D132" t="s">
        <v>8</v>
      </c>
      <c r="E132" t="s">
        <v>45</v>
      </c>
      <c r="F132">
        <v>702</v>
      </c>
      <c r="G132">
        <v>1.34E-4</v>
      </c>
      <c r="H132" t="s">
        <v>90</v>
      </c>
      <c r="J132">
        <f t="shared" ref="J132:J195" si="2">ROUNDUP(G132,4)</f>
        <v>2.0000000000000001E-4</v>
      </c>
    </row>
    <row r="133" spans="1:10" x14ac:dyDescent="0.3">
      <c r="A133">
        <v>159</v>
      </c>
      <c r="B133">
        <v>12.835654</v>
      </c>
      <c r="C133" t="s">
        <v>8</v>
      </c>
      <c r="D133" t="s">
        <v>95</v>
      </c>
      <c r="E133" t="s">
        <v>45</v>
      </c>
      <c r="F133">
        <v>85</v>
      </c>
      <c r="G133">
        <v>2.24E-4</v>
      </c>
      <c r="H133" t="s">
        <v>21</v>
      </c>
      <c r="J133">
        <f t="shared" si="2"/>
        <v>3.0000000000000003E-4</v>
      </c>
    </row>
    <row r="134" spans="1:10" x14ac:dyDescent="0.3">
      <c r="A134">
        <v>160</v>
      </c>
      <c r="B134">
        <v>12.835702</v>
      </c>
      <c r="C134" t="s">
        <v>95</v>
      </c>
      <c r="D134" t="s">
        <v>8</v>
      </c>
      <c r="E134" t="s">
        <v>45</v>
      </c>
      <c r="F134">
        <v>85</v>
      </c>
      <c r="G134">
        <v>4.8000000000000001E-5</v>
      </c>
      <c r="H134" t="s">
        <v>21</v>
      </c>
      <c r="J134">
        <f t="shared" si="2"/>
        <v>1E-4</v>
      </c>
    </row>
    <row r="135" spans="1:10" x14ac:dyDescent="0.3">
      <c r="A135">
        <v>161</v>
      </c>
      <c r="B135">
        <v>12.870851999999999</v>
      </c>
      <c r="C135" t="s">
        <v>95</v>
      </c>
      <c r="D135" t="s">
        <v>8</v>
      </c>
      <c r="E135" t="s">
        <v>10</v>
      </c>
      <c r="F135">
        <v>60</v>
      </c>
      <c r="G135">
        <v>3.5150000000000001E-2</v>
      </c>
      <c r="H135" t="s">
        <v>112</v>
      </c>
      <c r="J135">
        <f t="shared" si="2"/>
        <v>3.5200000000000002E-2</v>
      </c>
    </row>
    <row r="136" spans="1:10" x14ac:dyDescent="0.3">
      <c r="A136">
        <v>162</v>
      </c>
      <c r="B136">
        <v>12.882707999999999</v>
      </c>
      <c r="C136" t="s">
        <v>8</v>
      </c>
      <c r="D136" t="s">
        <v>95</v>
      </c>
      <c r="E136" t="s">
        <v>10</v>
      </c>
      <c r="F136">
        <v>54</v>
      </c>
      <c r="G136">
        <v>1.1856E-2</v>
      </c>
      <c r="H136" t="s">
        <v>113</v>
      </c>
      <c r="J136">
        <f t="shared" si="2"/>
        <v>1.1899999999999999E-2</v>
      </c>
    </row>
    <row r="137" spans="1:10" x14ac:dyDescent="0.3">
      <c r="A137">
        <v>163</v>
      </c>
      <c r="B137">
        <v>12.925465000000001</v>
      </c>
      <c r="C137" t="s">
        <v>95</v>
      </c>
      <c r="D137" t="s">
        <v>8</v>
      </c>
      <c r="E137" t="s">
        <v>45</v>
      </c>
      <c r="F137">
        <v>304</v>
      </c>
      <c r="G137">
        <v>4.2757000000000003E-2</v>
      </c>
      <c r="H137" t="s">
        <v>21</v>
      </c>
      <c r="J137">
        <f t="shared" si="2"/>
        <v>4.2800000000000005E-2</v>
      </c>
    </row>
    <row r="138" spans="1:10" x14ac:dyDescent="0.3">
      <c r="A138">
        <v>164</v>
      </c>
      <c r="B138">
        <v>12.925518</v>
      </c>
      <c r="C138" t="s">
        <v>95</v>
      </c>
      <c r="D138" t="s">
        <v>8</v>
      </c>
      <c r="E138" t="s">
        <v>45</v>
      </c>
      <c r="F138">
        <v>167</v>
      </c>
      <c r="G138">
        <v>5.3000000000000001E-5</v>
      </c>
      <c r="H138" t="s">
        <v>21</v>
      </c>
      <c r="J138">
        <f t="shared" si="2"/>
        <v>1E-4</v>
      </c>
    </row>
    <row r="139" spans="1:10" x14ac:dyDescent="0.3">
      <c r="A139">
        <v>165</v>
      </c>
      <c r="B139">
        <v>12.925518</v>
      </c>
      <c r="C139" t="s">
        <v>95</v>
      </c>
      <c r="D139" t="s">
        <v>8</v>
      </c>
      <c r="E139" t="s">
        <v>45</v>
      </c>
      <c r="F139">
        <v>124</v>
      </c>
      <c r="G139">
        <v>0</v>
      </c>
      <c r="H139" t="s">
        <v>90</v>
      </c>
      <c r="J139">
        <f t="shared" si="2"/>
        <v>0</v>
      </c>
    </row>
    <row r="140" spans="1:10" x14ac:dyDescent="0.3">
      <c r="A140">
        <v>166</v>
      </c>
      <c r="B140">
        <v>12.925530999999999</v>
      </c>
      <c r="C140" t="s">
        <v>8</v>
      </c>
      <c r="D140" t="s">
        <v>95</v>
      </c>
      <c r="E140" t="s">
        <v>10</v>
      </c>
      <c r="F140">
        <v>54</v>
      </c>
      <c r="G140">
        <v>1.2999999999999999E-5</v>
      </c>
      <c r="H140" t="s">
        <v>114</v>
      </c>
      <c r="J140">
        <f t="shared" si="2"/>
        <v>1E-4</v>
      </c>
    </row>
    <row r="141" spans="1:10" x14ac:dyDescent="0.3">
      <c r="A141">
        <v>167</v>
      </c>
      <c r="B141">
        <v>12.925636000000001</v>
      </c>
      <c r="C141" t="s">
        <v>8</v>
      </c>
      <c r="D141" t="s">
        <v>95</v>
      </c>
      <c r="E141" t="s">
        <v>45</v>
      </c>
      <c r="F141">
        <v>93</v>
      </c>
      <c r="G141">
        <v>1.05E-4</v>
      </c>
      <c r="H141" t="s">
        <v>21</v>
      </c>
      <c r="J141">
        <f t="shared" si="2"/>
        <v>2.0000000000000001E-4</v>
      </c>
    </row>
    <row r="142" spans="1:10" x14ac:dyDescent="0.3">
      <c r="A142">
        <v>168</v>
      </c>
      <c r="B142">
        <v>12.925705000000001</v>
      </c>
      <c r="C142" t="s">
        <v>8</v>
      </c>
      <c r="D142" t="s">
        <v>95</v>
      </c>
      <c r="E142" t="s">
        <v>45</v>
      </c>
      <c r="F142">
        <v>78</v>
      </c>
      <c r="G142">
        <v>6.8999999999999997E-5</v>
      </c>
      <c r="H142" t="s">
        <v>21</v>
      </c>
      <c r="J142">
        <f t="shared" si="2"/>
        <v>1E-4</v>
      </c>
    </row>
    <row r="143" spans="1:10" x14ac:dyDescent="0.3">
      <c r="A143">
        <v>169</v>
      </c>
      <c r="B143">
        <v>12.925763</v>
      </c>
      <c r="C143" t="s">
        <v>8</v>
      </c>
      <c r="D143" t="s">
        <v>95</v>
      </c>
      <c r="E143" t="s">
        <v>10</v>
      </c>
      <c r="F143">
        <v>54</v>
      </c>
      <c r="G143">
        <v>5.8E-5</v>
      </c>
      <c r="H143" t="s">
        <v>115</v>
      </c>
      <c r="J143">
        <f t="shared" si="2"/>
        <v>1E-4</v>
      </c>
    </row>
    <row r="144" spans="1:10" x14ac:dyDescent="0.3">
      <c r="A144">
        <v>170</v>
      </c>
      <c r="B144">
        <v>12.955698</v>
      </c>
      <c r="C144" t="s">
        <v>95</v>
      </c>
      <c r="D144" t="s">
        <v>8</v>
      </c>
      <c r="E144" t="s">
        <v>10</v>
      </c>
      <c r="F144">
        <v>60</v>
      </c>
      <c r="G144">
        <v>2.9935E-2</v>
      </c>
      <c r="H144" t="s">
        <v>116</v>
      </c>
      <c r="J144">
        <f t="shared" si="2"/>
        <v>0.03</v>
      </c>
    </row>
    <row r="145" spans="1:10" x14ac:dyDescent="0.3">
      <c r="A145">
        <v>171</v>
      </c>
      <c r="B145">
        <v>12.955752</v>
      </c>
      <c r="C145" t="s">
        <v>95</v>
      </c>
      <c r="D145" t="s">
        <v>8</v>
      </c>
      <c r="E145" t="s">
        <v>10</v>
      </c>
      <c r="F145">
        <v>60</v>
      </c>
      <c r="G145">
        <v>5.3999999999999998E-5</v>
      </c>
      <c r="H145" t="s">
        <v>117</v>
      </c>
      <c r="J145">
        <f t="shared" si="2"/>
        <v>1E-4</v>
      </c>
    </row>
    <row r="146" spans="1:10" x14ac:dyDescent="0.3">
      <c r="A146">
        <v>172</v>
      </c>
      <c r="B146">
        <v>12.955788999999999</v>
      </c>
      <c r="C146" t="s">
        <v>95</v>
      </c>
      <c r="D146" t="s">
        <v>8</v>
      </c>
      <c r="E146" t="s">
        <v>10</v>
      </c>
      <c r="F146">
        <v>60</v>
      </c>
      <c r="G146">
        <v>3.6999999999999998E-5</v>
      </c>
      <c r="H146" t="s">
        <v>118</v>
      </c>
      <c r="J146">
        <f t="shared" si="2"/>
        <v>1E-4</v>
      </c>
    </row>
    <row r="147" spans="1:10" x14ac:dyDescent="0.3">
      <c r="A147">
        <v>173</v>
      </c>
      <c r="B147">
        <v>12.955797</v>
      </c>
      <c r="C147" t="s">
        <v>8</v>
      </c>
      <c r="D147" t="s">
        <v>95</v>
      </c>
      <c r="E147" t="s">
        <v>10</v>
      </c>
      <c r="F147">
        <v>54</v>
      </c>
      <c r="G147">
        <v>7.9999999999999996E-6</v>
      </c>
      <c r="H147" t="s">
        <v>119</v>
      </c>
      <c r="J147">
        <f t="shared" si="2"/>
        <v>1E-4</v>
      </c>
    </row>
    <row r="148" spans="1:10" x14ac:dyDescent="0.3">
      <c r="A148">
        <v>174</v>
      </c>
      <c r="B148">
        <v>12.955829</v>
      </c>
      <c r="C148" t="s">
        <v>95</v>
      </c>
      <c r="D148" t="s">
        <v>8</v>
      </c>
      <c r="E148" t="s">
        <v>10</v>
      </c>
      <c r="F148">
        <v>60</v>
      </c>
      <c r="G148">
        <v>3.1999999999999999E-5</v>
      </c>
      <c r="H148" t="s">
        <v>120</v>
      </c>
      <c r="J148">
        <f t="shared" si="2"/>
        <v>1E-4</v>
      </c>
    </row>
    <row r="149" spans="1:10" x14ac:dyDescent="0.3">
      <c r="A149">
        <v>186</v>
      </c>
      <c r="B149">
        <v>14.644462000000001</v>
      </c>
      <c r="C149" t="s">
        <v>25</v>
      </c>
      <c r="D149" t="s">
        <v>8</v>
      </c>
      <c r="E149" t="s">
        <v>30</v>
      </c>
      <c r="F149">
        <v>78</v>
      </c>
      <c r="G149">
        <v>1.6886330000000001</v>
      </c>
      <c r="H149" t="s">
        <v>121</v>
      </c>
      <c r="J149">
        <f t="shared" si="2"/>
        <v>1.6887000000000001</v>
      </c>
    </row>
    <row r="150" spans="1:10" x14ac:dyDescent="0.3">
      <c r="A150">
        <v>187</v>
      </c>
      <c r="B150">
        <v>14.653172</v>
      </c>
      <c r="C150" t="s">
        <v>8</v>
      </c>
      <c r="D150" t="s">
        <v>25</v>
      </c>
      <c r="E150" t="s">
        <v>30</v>
      </c>
      <c r="F150">
        <v>58</v>
      </c>
      <c r="G150">
        <v>8.7100000000000007E-3</v>
      </c>
      <c r="H150" t="s">
        <v>122</v>
      </c>
      <c r="J150">
        <f t="shared" si="2"/>
        <v>8.7999999999999988E-3</v>
      </c>
    </row>
    <row r="151" spans="1:10" x14ac:dyDescent="0.3">
      <c r="A151">
        <v>188</v>
      </c>
      <c r="B151">
        <v>14.654458999999999</v>
      </c>
      <c r="C151" t="s">
        <v>25</v>
      </c>
      <c r="D151" t="s">
        <v>8</v>
      </c>
      <c r="E151" t="s">
        <v>10</v>
      </c>
      <c r="F151">
        <v>60</v>
      </c>
      <c r="G151">
        <v>1.2869999999999999E-3</v>
      </c>
      <c r="H151" t="s">
        <v>123</v>
      </c>
      <c r="J151">
        <f t="shared" si="2"/>
        <v>1.2999999999999999E-3</v>
      </c>
    </row>
    <row r="152" spans="1:10" x14ac:dyDescent="0.3">
      <c r="A152">
        <v>189</v>
      </c>
      <c r="B152">
        <v>15.035674999999999</v>
      </c>
      <c r="C152" t="s">
        <v>8</v>
      </c>
      <c r="D152" t="s">
        <v>69</v>
      </c>
      <c r="E152" t="s">
        <v>10</v>
      </c>
      <c r="F152">
        <v>66</v>
      </c>
      <c r="G152">
        <v>0.381216</v>
      </c>
      <c r="H152" t="s">
        <v>71</v>
      </c>
      <c r="J152">
        <f t="shared" si="2"/>
        <v>0.38129999999999997</v>
      </c>
    </row>
    <row r="153" spans="1:10" x14ac:dyDescent="0.3">
      <c r="A153">
        <v>191</v>
      </c>
      <c r="B153">
        <v>16.065591999999999</v>
      </c>
      <c r="C153" t="s">
        <v>8</v>
      </c>
      <c r="D153" t="s">
        <v>19</v>
      </c>
      <c r="E153" t="s">
        <v>20</v>
      </c>
      <c r="F153">
        <v>105</v>
      </c>
      <c r="G153">
        <v>1.029917</v>
      </c>
      <c r="H153" t="s">
        <v>21</v>
      </c>
      <c r="J153">
        <f t="shared" si="2"/>
        <v>1.03</v>
      </c>
    </row>
    <row r="154" spans="1:10" x14ac:dyDescent="0.3">
      <c r="A154">
        <v>192</v>
      </c>
      <c r="B154">
        <v>16.094985000000001</v>
      </c>
      <c r="C154" t="s">
        <v>19</v>
      </c>
      <c r="D154" t="s">
        <v>8</v>
      </c>
      <c r="E154" t="s">
        <v>10</v>
      </c>
      <c r="F154">
        <v>60</v>
      </c>
      <c r="G154">
        <v>2.9392999999999999E-2</v>
      </c>
      <c r="H154" t="s">
        <v>124</v>
      </c>
      <c r="J154">
        <f t="shared" si="2"/>
        <v>2.9399999999999999E-2</v>
      </c>
    </row>
    <row r="155" spans="1:10" x14ac:dyDescent="0.3">
      <c r="A155">
        <v>193</v>
      </c>
      <c r="B155">
        <v>16.102872999999999</v>
      </c>
      <c r="C155" t="s">
        <v>19</v>
      </c>
      <c r="D155" t="s">
        <v>8</v>
      </c>
      <c r="E155" t="s">
        <v>20</v>
      </c>
      <c r="F155">
        <v>135</v>
      </c>
      <c r="G155">
        <v>7.8879999999999992E-3</v>
      </c>
      <c r="H155" t="s">
        <v>21</v>
      </c>
      <c r="J155">
        <f t="shared" si="2"/>
        <v>7.899999999999999E-3</v>
      </c>
    </row>
    <row r="156" spans="1:10" x14ac:dyDescent="0.3">
      <c r="A156">
        <v>194</v>
      </c>
      <c r="B156">
        <v>16.102898</v>
      </c>
      <c r="C156" t="s">
        <v>19</v>
      </c>
      <c r="D156" t="s">
        <v>8</v>
      </c>
      <c r="E156" t="s">
        <v>20</v>
      </c>
      <c r="F156">
        <v>99</v>
      </c>
      <c r="G156">
        <v>2.5000000000000001E-5</v>
      </c>
      <c r="H156" t="s">
        <v>21</v>
      </c>
      <c r="J156">
        <f t="shared" si="2"/>
        <v>1E-4</v>
      </c>
    </row>
    <row r="157" spans="1:10" x14ac:dyDescent="0.3">
      <c r="A157">
        <v>195</v>
      </c>
      <c r="B157">
        <v>16.102906999999998</v>
      </c>
      <c r="C157" t="s">
        <v>8</v>
      </c>
      <c r="D157" t="s">
        <v>19</v>
      </c>
      <c r="E157" t="s">
        <v>10</v>
      </c>
      <c r="F157">
        <v>54</v>
      </c>
      <c r="G157">
        <v>9.0000000000000002E-6</v>
      </c>
      <c r="H157" t="s">
        <v>125</v>
      </c>
      <c r="J157">
        <f t="shared" si="2"/>
        <v>1E-4</v>
      </c>
    </row>
    <row r="158" spans="1:10" x14ac:dyDescent="0.3">
      <c r="A158">
        <v>196</v>
      </c>
      <c r="B158">
        <v>16.102975000000001</v>
      </c>
      <c r="C158" t="s">
        <v>19</v>
      </c>
      <c r="D158" t="s">
        <v>8</v>
      </c>
      <c r="E158" t="s">
        <v>20</v>
      </c>
      <c r="F158">
        <v>85</v>
      </c>
      <c r="G158">
        <v>6.7999999999999999E-5</v>
      </c>
      <c r="H158" t="s">
        <v>21</v>
      </c>
      <c r="J158">
        <f t="shared" si="2"/>
        <v>1E-4</v>
      </c>
    </row>
    <row r="159" spans="1:10" x14ac:dyDescent="0.3">
      <c r="A159">
        <v>197</v>
      </c>
      <c r="B159">
        <v>16.103397000000001</v>
      </c>
      <c r="C159" t="s">
        <v>8</v>
      </c>
      <c r="D159" t="s">
        <v>19</v>
      </c>
      <c r="E159" t="s">
        <v>20</v>
      </c>
      <c r="F159">
        <v>89</v>
      </c>
      <c r="G159">
        <v>4.2200000000000001E-4</v>
      </c>
      <c r="H159" t="s">
        <v>21</v>
      </c>
      <c r="J159">
        <f t="shared" si="2"/>
        <v>5.0000000000000001E-4</v>
      </c>
    </row>
    <row r="160" spans="1:10" x14ac:dyDescent="0.3">
      <c r="A160">
        <v>200</v>
      </c>
      <c r="B160">
        <v>16.173335000000002</v>
      </c>
      <c r="C160" t="s">
        <v>19</v>
      </c>
      <c r="D160" t="s">
        <v>8</v>
      </c>
      <c r="E160" t="s">
        <v>10</v>
      </c>
      <c r="F160">
        <v>60</v>
      </c>
      <c r="G160">
        <v>6.9938E-2</v>
      </c>
      <c r="H160" t="s">
        <v>126</v>
      </c>
      <c r="J160">
        <f t="shared" si="2"/>
        <v>7.0000000000000007E-2</v>
      </c>
    </row>
    <row r="161" spans="1:10" x14ac:dyDescent="0.3">
      <c r="A161">
        <v>201</v>
      </c>
      <c r="B161">
        <v>16.436945999999999</v>
      </c>
      <c r="C161" t="s">
        <v>8</v>
      </c>
      <c r="D161" t="s">
        <v>9</v>
      </c>
      <c r="E161" t="s">
        <v>10</v>
      </c>
      <c r="F161">
        <v>66</v>
      </c>
      <c r="G161">
        <v>0.26361099999999998</v>
      </c>
      <c r="H161" t="s">
        <v>16</v>
      </c>
      <c r="J161">
        <f t="shared" si="2"/>
        <v>0.26369999999999999</v>
      </c>
    </row>
    <row r="162" spans="1:10" x14ac:dyDescent="0.3">
      <c r="A162">
        <v>202</v>
      </c>
      <c r="B162">
        <v>16.437168</v>
      </c>
      <c r="C162" t="s">
        <v>8</v>
      </c>
      <c r="D162" t="s">
        <v>12</v>
      </c>
      <c r="E162" t="s">
        <v>10</v>
      </c>
      <c r="F162">
        <v>66</v>
      </c>
      <c r="G162">
        <v>2.22E-4</v>
      </c>
      <c r="H162" t="s">
        <v>17</v>
      </c>
      <c r="J162">
        <f t="shared" si="2"/>
        <v>3.0000000000000003E-4</v>
      </c>
    </row>
    <row r="163" spans="1:10" x14ac:dyDescent="0.3">
      <c r="A163">
        <v>203</v>
      </c>
      <c r="B163">
        <v>16.943463000000001</v>
      </c>
      <c r="C163" t="s">
        <v>8</v>
      </c>
      <c r="D163" t="s">
        <v>14</v>
      </c>
      <c r="E163" t="s">
        <v>10</v>
      </c>
      <c r="F163">
        <v>66</v>
      </c>
      <c r="G163">
        <v>0.50629500000000005</v>
      </c>
      <c r="H163" t="s">
        <v>18</v>
      </c>
      <c r="J163">
        <f t="shared" si="2"/>
        <v>0.50629999999999997</v>
      </c>
    </row>
    <row r="164" spans="1:10" x14ac:dyDescent="0.3">
      <c r="A164">
        <v>205</v>
      </c>
      <c r="B164">
        <v>18.16037</v>
      </c>
      <c r="C164" t="s">
        <v>8</v>
      </c>
      <c r="D164" t="s">
        <v>127</v>
      </c>
      <c r="E164" t="s">
        <v>10</v>
      </c>
      <c r="F164">
        <v>66</v>
      </c>
      <c r="G164">
        <v>1.216907</v>
      </c>
      <c r="H164" t="s">
        <v>128</v>
      </c>
      <c r="J164">
        <f t="shared" si="2"/>
        <v>1.2170000000000001</v>
      </c>
    </row>
    <row r="165" spans="1:10" x14ac:dyDescent="0.3">
      <c r="A165">
        <v>206</v>
      </c>
      <c r="B165">
        <v>18.295909000000002</v>
      </c>
      <c r="C165" t="s">
        <v>127</v>
      </c>
      <c r="D165" t="s">
        <v>8</v>
      </c>
      <c r="E165" t="s">
        <v>10</v>
      </c>
      <c r="F165">
        <v>66</v>
      </c>
      <c r="G165">
        <v>0.13553899999999999</v>
      </c>
      <c r="H165" t="s">
        <v>129</v>
      </c>
      <c r="J165">
        <f t="shared" si="2"/>
        <v>0.1356</v>
      </c>
    </row>
    <row r="166" spans="1:10" x14ac:dyDescent="0.3">
      <c r="A166">
        <v>207</v>
      </c>
      <c r="B166">
        <v>18.295974999999999</v>
      </c>
      <c r="C166" t="s">
        <v>8</v>
      </c>
      <c r="D166" t="s">
        <v>127</v>
      </c>
      <c r="E166" t="s">
        <v>10</v>
      </c>
      <c r="F166">
        <v>54</v>
      </c>
      <c r="G166">
        <v>6.6000000000000005E-5</v>
      </c>
      <c r="H166" t="s">
        <v>130</v>
      </c>
      <c r="J166">
        <f t="shared" si="2"/>
        <v>1E-4</v>
      </c>
    </row>
    <row r="167" spans="1:10" x14ac:dyDescent="0.3">
      <c r="A167">
        <v>208</v>
      </c>
      <c r="B167">
        <v>18.296241999999999</v>
      </c>
      <c r="C167" t="s">
        <v>8</v>
      </c>
      <c r="D167" t="s">
        <v>127</v>
      </c>
      <c r="E167" t="s">
        <v>45</v>
      </c>
      <c r="F167">
        <v>571</v>
      </c>
      <c r="G167">
        <v>2.6699999999999998E-4</v>
      </c>
      <c r="H167" t="s">
        <v>131</v>
      </c>
      <c r="J167">
        <f t="shared" si="2"/>
        <v>3.0000000000000003E-4</v>
      </c>
    </row>
    <row r="168" spans="1:10" x14ac:dyDescent="0.3">
      <c r="A168">
        <v>209</v>
      </c>
      <c r="B168">
        <v>18.430167999999998</v>
      </c>
      <c r="C168" t="s">
        <v>127</v>
      </c>
      <c r="D168" t="s">
        <v>8</v>
      </c>
      <c r="E168" t="s">
        <v>45</v>
      </c>
      <c r="F168">
        <v>153</v>
      </c>
      <c r="G168">
        <v>0.13392599999999999</v>
      </c>
      <c r="H168" t="s">
        <v>50</v>
      </c>
      <c r="J168">
        <f t="shared" si="2"/>
        <v>0.13399999999999998</v>
      </c>
    </row>
    <row r="169" spans="1:10" x14ac:dyDescent="0.3">
      <c r="A169">
        <v>210</v>
      </c>
      <c r="B169">
        <v>18.430990000000001</v>
      </c>
      <c r="C169" t="s">
        <v>8</v>
      </c>
      <c r="D169" t="s">
        <v>127</v>
      </c>
      <c r="E169" t="s">
        <v>45</v>
      </c>
      <c r="F169">
        <v>487</v>
      </c>
      <c r="G169">
        <v>8.2200000000000003E-4</v>
      </c>
      <c r="H169" t="s">
        <v>132</v>
      </c>
      <c r="J169">
        <f t="shared" si="2"/>
        <v>9.0000000000000008E-4</v>
      </c>
    </row>
    <row r="170" spans="1:10" x14ac:dyDescent="0.3">
      <c r="A170">
        <v>215</v>
      </c>
      <c r="B170">
        <v>18.566936999999999</v>
      </c>
      <c r="C170" t="s">
        <v>127</v>
      </c>
      <c r="D170" t="s">
        <v>8</v>
      </c>
      <c r="E170" t="s">
        <v>45</v>
      </c>
      <c r="F170">
        <v>1514</v>
      </c>
      <c r="G170">
        <v>0.13594700000000001</v>
      </c>
      <c r="H170" t="s">
        <v>56</v>
      </c>
      <c r="J170">
        <f t="shared" si="2"/>
        <v>0.13599999999999998</v>
      </c>
    </row>
    <row r="171" spans="1:10" x14ac:dyDescent="0.3">
      <c r="A171">
        <v>216</v>
      </c>
      <c r="B171">
        <v>18.568055999999999</v>
      </c>
      <c r="C171" t="s">
        <v>127</v>
      </c>
      <c r="D171" t="s">
        <v>8</v>
      </c>
      <c r="E171" t="s">
        <v>10</v>
      </c>
      <c r="F171">
        <v>1514</v>
      </c>
      <c r="G171">
        <v>1.119E-3</v>
      </c>
      <c r="H171" t="s">
        <v>133</v>
      </c>
      <c r="J171">
        <f t="shared" si="2"/>
        <v>1.2000000000000001E-3</v>
      </c>
    </row>
    <row r="172" spans="1:10" x14ac:dyDescent="0.3">
      <c r="A172">
        <v>217</v>
      </c>
      <c r="B172">
        <v>18.568055999999999</v>
      </c>
      <c r="C172" t="s">
        <v>127</v>
      </c>
      <c r="D172" t="s">
        <v>8</v>
      </c>
      <c r="E172" t="s">
        <v>10</v>
      </c>
      <c r="F172">
        <v>1514</v>
      </c>
      <c r="G172">
        <v>0</v>
      </c>
      <c r="H172" t="s">
        <v>134</v>
      </c>
      <c r="J172">
        <f t="shared" si="2"/>
        <v>0</v>
      </c>
    </row>
    <row r="173" spans="1:10" x14ac:dyDescent="0.3">
      <c r="A173">
        <v>218</v>
      </c>
      <c r="B173">
        <v>18.568055999999999</v>
      </c>
      <c r="C173" t="s">
        <v>127</v>
      </c>
      <c r="D173" t="s">
        <v>8</v>
      </c>
      <c r="E173" t="s">
        <v>45</v>
      </c>
      <c r="F173">
        <v>82</v>
      </c>
      <c r="G173">
        <v>0</v>
      </c>
      <c r="H173" t="s">
        <v>21</v>
      </c>
      <c r="J173">
        <f t="shared" si="2"/>
        <v>0</v>
      </c>
    </row>
    <row r="174" spans="1:10" x14ac:dyDescent="0.3">
      <c r="A174">
        <v>219</v>
      </c>
      <c r="B174">
        <v>18.568078</v>
      </c>
      <c r="C174" t="s">
        <v>8</v>
      </c>
      <c r="D174" t="s">
        <v>127</v>
      </c>
      <c r="E174" t="s">
        <v>10</v>
      </c>
      <c r="F174">
        <v>54</v>
      </c>
      <c r="G174">
        <v>2.1999999999999999E-5</v>
      </c>
      <c r="H174" t="s">
        <v>135</v>
      </c>
      <c r="J174">
        <f t="shared" si="2"/>
        <v>1E-4</v>
      </c>
    </row>
    <row r="175" spans="1:10" x14ac:dyDescent="0.3">
      <c r="A175">
        <v>220</v>
      </c>
      <c r="B175">
        <v>18.56887</v>
      </c>
      <c r="C175" t="s">
        <v>8</v>
      </c>
      <c r="D175" t="s">
        <v>127</v>
      </c>
      <c r="E175" t="s">
        <v>45</v>
      </c>
      <c r="F175">
        <v>691</v>
      </c>
      <c r="G175">
        <v>7.9199999999999995E-4</v>
      </c>
      <c r="H175" t="s">
        <v>90</v>
      </c>
      <c r="J175">
        <f t="shared" si="2"/>
        <v>8.0000000000000004E-4</v>
      </c>
    </row>
    <row r="176" spans="1:10" x14ac:dyDescent="0.3">
      <c r="A176">
        <v>225</v>
      </c>
      <c r="B176">
        <v>18.702499</v>
      </c>
      <c r="C176" t="s">
        <v>127</v>
      </c>
      <c r="D176" t="s">
        <v>8</v>
      </c>
      <c r="E176" t="s">
        <v>45</v>
      </c>
      <c r="F176">
        <v>157</v>
      </c>
      <c r="G176">
        <v>0.133629</v>
      </c>
      <c r="H176" t="s">
        <v>21</v>
      </c>
      <c r="J176">
        <f t="shared" si="2"/>
        <v>0.13369999999999999</v>
      </c>
    </row>
    <row r="177" spans="1:10" x14ac:dyDescent="0.3">
      <c r="A177">
        <v>226</v>
      </c>
      <c r="B177">
        <v>18.70271</v>
      </c>
      <c r="C177" t="s">
        <v>127</v>
      </c>
      <c r="D177" t="s">
        <v>8</v>
      </c>
      <c r="E177" t="s">
        <v>45</v>
      </c>
      <c r="F177">
        <v>479</v>
      </c>
      <c r="G177">
        <v>2.1100000000000001E-4</v>
      </c>
      <c r="H177" t="s">
        <v>21</v>
      </c>
      <c r="J177">
        <f t="shared" si="2"/>
        <v>3.0000000000000003E-4</v>
      </c>
    </row>
    <row r="178" spans="1:10" x14ac:dyDescent="0.3">
      <c r="A178">
        <v>227</v>
      </c>
      <c r="B178">
        <v>18.70271</v>
      </c>
      <c r="C178" t="s">
        <v>127</v>
      </c>
      <c r="D178" t="s">
        <v>8</v>
      </c>
      <c r="E178" t="s">
        <v>45</v>
      </c>
      <c r="F178">
        <v>81</v>
      </c>
      <c r="G178">
        <v>0</v>
      </c>
      <c r="H178" t="s">
        <v>21</v>
      </c>
      <c r="J178">
        <f t="shared" si="2"/>
        <v>0</v>
      </c>
    </row>
    <row r="179" spans="1:10" x14ac:dyDescent="0.3">
      <c r="A179">
        <v>228</v>
      </c>
      <c r="B179">
        <v>18.702728</v>
      </c>
      <c r="C179" t="s">
        <v>8</v>
      </c>
      <c r="D179" t="s">
        <v>127</v>
      </c>
      <c r="E179" t="s">
        <v>10</v>
      </c>
      <c r="F179">
        <v>54</v>
      </c>
      <c r="G179">
        <v>1.8E-5</v>
      </c>
      <c r="H179" t="s">
        <v>136</v>
      </c>
      <c r="J179">
        <f t="shared" si="2"/>
        <v>1E-4</v>
      </c>
    </row>
    <row r="180" spans="1:10" x14ac:dyDescent="0.3">
      <c r="A180">
        <v>229</v>
      </c>
      <c r="B180">
        <v>18.703039</v>
      </c>
      <c r="C180" t="s">
        <v>8</v>
      </c>
      <c r="D180" t="s">
        <v>127</v>
      </c>
      <c r="E180" t="s">
        <v>45</v>
      </c>
      <c r="F180">
        <v>78</v>
      </c>
      <c r="G180">
        <v>3.1100000000000002E-4</v>
      </c>
      <c r="H180" t="s">
        <v>21</v>
      </c>
      <c r="J180">
        <f t="shared" si="2"/>
        <v>3.9999999999999996E-4</v>
      </c>
    </row>
    <row r="181" spans="1:10" x14ac:dyDescent="0.3">
      <c r="A181">
        <v>230</v>
      </c>
      <c r="B181">
        <v>18.703088999999999</v>
      </c>
      <c r="C181" t="s">
        <v>8</v>
      </c>
      <c r="D181" t="s">
        <v>127</v>
      </c>
      <c r="E181" t="s">
        <v>10</v>
      </c>
      <c r="F181">
        <v>54</v>
      </c>
      <c r="G181">
        <v>5.0000000000000002E-5</v>
      </c>
      <c r="H181" t="s">
        <v>137</v>
      </c>
      <c r="J181">
        <f t="shared" si="2"/>
        <v>1E-4</v>
      </c>
    </row>
    <row r="182" spans="1:10" x14ac:dyDescent="0.3">
      <c r="A182">
        <v>231</v>
      </c>
      <c r="B182">
        <v>18.836286000000001</v>
      </c>
      <c r="C182" t="s">
        <v>127</v>
      </c>
      <c r="D182" t="s">
        <v>8</v>
      </c>
      <c r="E182" t="s">
        <v>10</v>
      </c>
      <c r="F182">
        <v>60</v>
      </c>
      <c r="G182">
        <v>0.13319700000000001</v>
      </c>
      <c r="H182" t="s">
        <v>138</v>
      </c>
      <c r="J182">
        <f t="shared" si="2"/>
        <v>0.13319999999999999</v>
      </c>
    </row>
    <row r="183" spans="1:10" x14ac:dyDescent="0.3">
      <c r="A183">
        <v>235</v>
      </c>
      <c r="B183">
        <v>20.036556000000001</v>
      </c>
      <c r="C183" t="s">
        <v>139</v>
      </c>
      <c r="D183" t="s">
        <v>8</v>
      </c>
      <c r="E183" t="s">
        <v>10</v>
      </c>
      <c r="F183">
        <v>74</v>
      </c>
      <c r="G183">
        <v>1.2002699999999999</v>
      </c>
      <c r="H183" t="s">
        <v>140</v>
      </c>
      <c r="J183">
        <f t="shared" si="2"/>
        <v>1.2002999999999999</v>
      </c>
    </row>
    <row r="184" spans="1:10" x14ac:dyDescent="0.3">
      <c r="A184">
        <v>236</v>
      </c>
      <c r="B184">
        <v>20.036622999999999</v>
      </c>
      <c r="C184" t="s">
        <v>8</v>
      </c>
      <c r="D184" t="s">
        <v>139</v>
      </c>
      <c r="E184" t="s">
        <v>10</v>
      </c>
      <c r="F184">
        <v>66</v>
      </c>
      <c r="G184">
        <v>6.7000000000000002E-5</v>
      </c>
      <c r="H184" t="s">
        <v>141</v>
      </c>
      <c r="J184">
        <f t="shared" si="2"/>
        <v>1E-4</v>
      </c>
    </row>
    <row r="185" spans="1:10" x14ac:dyDescent="0.3">
      <c r="A185">
        <v>237</v>
      </c>
      <c r="B185">
        <v>20.041961000000001</v>
      </c>
      <c r="C185" t="s">
        <v>139</v>
      </c>
      <c r="D185" t="s">
        <v>8</v>
      </c>
      <c r="E185" t="s">
        <v>10</v>
      </c>
      <c r="F185">
        <v>60</v>
      </c>
      <c r="G185">
        <v>5.3379999999999999E-3</v>
      </c>
      <c r="H185" t="s">
        <v>142</v>
      </c>
      <c r="J185">
        <f t="shared" si="2"/>
        <v>5.4000000000000003E-3</v>
      </c>
    </row>
    <row r="186" spans="1:10" x14ac:dyDescent="0.3">
      <c r="A186">
        <v>238</v>
      </c>
      <c r="B186">
        <v>20.084520999999999</v>
      </c>
      <c r="C186" t="s">
        <v>139</v>
      </c>
      <c r="D186" t="s">
        <v>8</v>
      </c>
      <c r="E186" t="s">
        <v>10</v>
      </c>
      <c r="F186">
        <v>245</v>
      </c>
      <c r="G186">
        <v>4.2560000000000001E-2</v>
      </c>
      <c r="H186" t="s">
        <v>143</v>
      </c>
      <c r="J186">
        <f t="shared" si="2"/>
        <v>4.2600000000000006E-2</v>
      </c>
    </row>
    <row r="187" spans="1:10" x14ac:dyDescent="0.3">
      <c r="A187">
        <v>239</v>
      </c>
      <c r="B187">
        <v>20.090211</v>
      </c>
      <c r="C187" t="s">
        <v>139</v>
      </c>
      <c r="D187" t="s">
        <v>8</v>
      </c>
      <c r="E187" t="s">
        <v>144</v>
      </c>
      <c r="F187">
        <v>99</v>
      </c>
      <c r="G187">
        <v>5.6899999999999997E-3</v>
      </c>
      <c r="H187" t="s">
        <v>145</v>
      </c>
      <c r="J187">
        <f t="shared" si="2"/>
        <v>5.7000000000000002E-3</v>
      </c>
    </row>
    <row r="188" spans="1:10" x14ac:dyDescent="0.3">
      <c r="A188">
        <v>240</v>
      </c>
      <c r="B188">
        <v>20.090236999999998</v>
      </c>
      <c r="C188" t="s">
        <v>8</v>
      </c>
      <c r="D188" t="s">
        <v>139</v>
      </c>
      <c r="E188" t="s">
        <v>10</v>
      </c>
      <c r="F188">
        <v>54</v>
      </c>
      <c r="G188">
        <v>2.5999999999999998E-5</v>
      </c>
      <c r="H188" t="s">
        <v>146</v>
      </c>
      <c r="J188">
        <f t="shared" si="2"/>
        <v>1E-4</v>
      </c>
    </row>
    <row r="189" spans="1:10" x14ac:dyDescent="0.3">
      <c r="A189">
        <v>241</v>
      </c>
      <c r="B189">
        <v>20.102124</v>
      </c>
      <c r="C189" t="s">
        <v>139</v>
      </c>
      <c r="D189" t="s">
        <v>8</v>
      </c>
      <c r="E189" t="s">
        <v>10</v>
      </c>
      <c r="F189">
        <v>99</v>
      </c>
      <c r="G189">
        <v>1.1887E-2</v>
      </c>
      <c r="H189" t="s">
        <v>147</v>
      </c>
      <c r="J189">
        <f t="shared" si="2"/>
        <v>1.1899999999999999E-2</v>
      </c>
    </row>
    <row r="190" spans="1:10" x14ac:dyDescent="0.3">
      <c r="A190">
        <v>242</v>
      </c>
      <c r="B190">
        <v>20.102136000000002</v>
      </c>
      <c r="C190" t="s">
        <v>8</v>
      </c>
      <c r="D190" t="s">
        <v>139</v>
      </c>
      <c r="E190" t="s">
        <v>10</v>
      </c>
      <c r="F190">
        <v>66</v>
      </c>
      <c r="G190">
        <v>1.2E-5</v>
      </c>
      <c r="H190" t="s">
        <v>148</v>
      </c>
      <c r="J190">
        <f t="shared" si="2"/>
        <v>1E-4</v>
      </c>
    </row>
    <row r="191" spans="1:10" x14ac:dyDescent="0.3">
      <c r="A191">
        <v>243</v>
      </c>
      <c r="B191">
        <v>20.460376</v>
      </c>
      <c r="C191" t="s">
        <v>8</v>
      </c>
      <c r="D191" t="s">
        <v>139</v>
      </c>
      <c r="E191" t="s">
        <v>10</v>
      </c>
      <c r="F191">
        <v>327</v>
      </c>
      <c r="G191">
        <v>0.35824</v>
      </c>
      <c r="H191" t="s">
        <v>149</v>
      </c>
      <c r="J191">
        <f t="shared" si="2"/>
        <v>0.35830000000000001</v>
      </c>
    </row>
    <row r="192" spans="1:10" x14ac:dyDescent="0.3">
      <c r="A192">
        <v>244</v>
      </c>
      <c r="B192">
        <v>20.461895999999999</v>
      </c>
      <c r="C192" t="s">
        <v>8</v>
      </c>
      <c r="D192" t="s">
        <v>139</v>
      </c>
      <c r="E192" t="s">
        <v>150</v>
      </c>
      <c r="F192">
        <v>415</v>
      </c>
      <c r="G192">
        <v>1.5200000000000001E-3</v>
      </c>
      <c r="H192" t="s">
        <v>151</v>
      </c>
      <c r="J192">
        <f t="shared" si="2"/>
        <v>1.6000000000000001E-3</v>
      </c>
    </row>
    <row r="193" spans="1:10" x14ac:dyDescent="0.3">
      <c r="A193">
        <v>245</v>
      </c>
      <c r="B193">
        <v>20.468360000000001</v>
      </c>
      <c r="C193" t="s">
        <v>139</v>
      </c>
      <c r="D193" t="s">
        <v>8</v>
      </c>
      <c r="E193" t="s">
        <v>10</v>
      </c>
      <c r="F193">
        <v>60</v>
      </c>
      <c r="G193">
        <v>6.4640000000000001E-3</v>
      </c>
      <c r="H193" t="s">
        <v>152</v>
      </c>
      <c r="J193">
        <f t="shared" si="2"/>
        <v>6.5000000000000006E-3</v>
      </c>
    </row>
    <row r="194" spans="1:10" x14ac:dyDescent="0.3">
      <c r="A194">
        <v>246</v>
      </c>
      <c r="B194">
        <v>20.469497</v>
      </c>
      <c r="C194" t="s">
        <v>139</v>
      </c>
      <c r="D194" t="s">
        <v>8</v>
      </c>
      <c r="E194" t="s">
        <v>10</v>
      </c>
      <c r="F194">
        <v>60</v>
      </c>
      <c r="G194">
        <v>1.137E-3</v>
      </c>
      <c r="H194" t="s">
        <v>153</v>
      </c>
      <c r="J194">
        <f t="shared" si="2"/>
        <v>1.2000000000000001E-3</v>
      </c>
    </row>
    <row r="195" spans="1:10" x14ac:dyDescent="0.3">
      <c r="A195">
        <v>247</v>
      </c>
      <c r="B195">
        <v>20.469514</v>
      </c>
      <c r="C195" t="s">
        <v>8</v>
      </c>
      <c r="D195" t="s">
        <v>139</v>
      </c>
      <c r="E195" t="s">
        <v>10</v>
      </c>
      <c r="F195">
        <v>54</v>
      </c>
      <c r="G195">
        <v>1.7E-5</v>
      </c>
      <c r="H195" t="s">
        <v>154</v>
      </c>
      <c r="J195">
        <f t="shared" si="2"/>
        <v>1E-4</v>
      </c>
    </row>
    <row r="196" spans="1:10" x14ac:dyDescent="0.3">
      <c r="A196">
        <v>248</v>
      </c>
      <c r="B196">
        <v>20.531713</v>
      </c>
      <c r="C196" t="s">
        <v>139</v>
      </c>
      <c r="D196" t="s">
        <v>8</v>
      </c>
      <c r="E196" t="s">
        <v>10</v>
      </c>
      <c r="F196">
        <v>74</v>
      </c>
      <c r="G196">
        <v>6.2198999999999997E-2</v>
      </c>
      <c r="H196" t="s">
        <v>155</v>
      </c>
      <c r="J196">
        <f t="shared" ref="J196:J259" si="3">ROUNDUP(G196,4)</f>
        <v>6.2200000000000005E-2</v>
      </c>
    </row>
    <row r="197" spans="1:10" x14ac:dyDescent="0.3">
      <c r="A197">
        <v>249</v>
      </c>
      <c r="B197">
        <v>20.531777999999999</v>
      </c>
      <c r="C197" t="s">
        <v>8</v>
      </c>
      <c r="D197" t="s">
        <v>139</v>
      </c>
      <c r="E197" t="s">
        <v>10</v>
      </c>
      <c r="F197">
        <v>66</v>
      </c>
      <c r="G197">
        <v>6.4999999999999994E-5</v>
      </c>
      <c r="H197" t="s">
        <v>156</v>
      </c>
      <c r="J197">
        <f t="shared" si="3"/>
        <v>1E-4</v>
      </c>
    </row>
    <row r="198" spans="1:10" x14ac:dyDescent="0.3">
      <c r="A198">
        <v>250</v>
      </c>
      <c r="B198">
        <v>20.572271000000001</v>
      </c>
      <c r="C198" t="s">
        <v>139</v>
      </c>
      <c r="D198" t="s">
        <v>8</v>
      </c>
      <c r="E198" t="s">
        <v>10</v>
      </c>
      <c r="F198">
        <v>60</v>
      </c>
      <c r="G198">
        <v>4.0493000000000001E-2</v>
      </c>
      <c r="H198" t="s">
        <v>157</v>
      </c>
      <c r="J198">
        <f t="shared" si="3"/>
        <v>4.0500000000000001E-2</v>
      </c>
    </row>
    <row r="199" spans="1:10" x14ac:dyDescent="0.3">
      <c r="A199">
        <v>251</v>
      </c>
      <c r="B199">
        <v>20.572545000000002</v>
      </c>
      <c r="C199" t="s">
        <v>139</v>
      </c>
      <c r="D199" t="s">
        <v>8</v>
      </c>
      <c r="E199" t="s">
        <v>10</v>
      </c>
      <c r="F199">
        <v>594</v>
      </c>
      <c r="G199">
        <v>2.7399999999999999E-4</v>
      </c>
      <c r="H199" t="s">
        <v>158</v>
      </c>
      <c r="J199">
        <f t="shared" si="3"/>
        <v>3.0000000000000003E-4</v>
      </c>
    </row>
    <row r="200" spans="1:10" x14ac:dyDescent="0.3">
      <c r="A200">
        <v>252</v>
      </c>
      <c r="B200">
        <v>20.572586000000001</v>
      </c>
      <c r="C200" t="s">
        <v>139</v>
      </c>
      <c r="D200" t="s">
        <v>8</v>
      </c>
      <c r="E200" t="s">
        <v>144</v>
      </c>
      <c r="F200">
        <v>204</v>
      </c>
      <c r="G200">
        <v>4.1E-5</v>
      </c>
      <c r="H200" t="s">
        <v>159</v>
      </c>
      <c r="J200">
        <f t="shared" si="3"/>
        <v>1E-4</v>
      </c>
    </row>
    <row r="201" spans="1:10" x14ac:dyDescent="0.3">
      <c r="A201">
        <v>253</v>
      </c>
      <c r="B201">
        <v>20.572595</v>
      </c>
      <c r="C201" t="s">
        <v>8</v>
      </c>
      <c r="D201" t="s">
        <v>139</v>
      </c>
      <c r="E201" t="s">
        <v>10</v>
      </c>
      <c r="F201">
        <v>54</v>
      </c>
      <c r="G201">
        <v>9.0000000000000002E-6</v>
      </c>
      <c r="H201" t="s">
        <v>160</v>
      </c>
      <c r="J201">
        <f t="shared" si="3"/>
        <v>1E-4</v>
      </c>
    </row>
    <row r="202" spans="1:10" x14ac:dyDescent="0.3">
      <c r="A202">
        <v>254</v>
      </c>
      <c r="B202">
        <v>20.62745</v>
      </c>
      <c r="C202" t="s">
        <v>161</v>
      </c>
      <c r="D202" t="s">
        <v>8</v>
      </c>
      <c r="E202" t="s">
        <v>20</v>
      </c>
      <c r="F202">
        <v>93</v>
      </c>
      <c r="G202">
        <v>5.4855000000000001E-2</v>
      </c>
      <c r="H202" t="s">
        <v>21</v>
      </c>
      <c r="J202">
        <f t="shared" si="3"/>
        <v>5.4900000000000004E-2</v>
      </c>
    </row>
    <row r="203" spans="1:10" x14ac:dyDescent="0.3">
      <c r="A203">
        <v>255</v>
      </c>
      <c r="B203">
        <v>20.627517999999998</v>
      </c>
      <c r="C203" t="s">
        <v>161</v>
      </c>
      <c r="D203" t="s">
        <v>8</v>
      </c>
      <c r="E203" t="s">
        <v>20</v>
      </c>
      <c r="F203">
        <v>78</v>
      </c>
      <c r="G203">
        <v>6.7999999999999999E-5</v>
      </c>
      <c r="H203" t="s">
        <v>21</v>
      </c>
      <c r="J203">
        <f t="shared" si="3"/>
        <v>1E-4</v>
      </c>
    </row>
    <row r="204" spans="1:10" x14ac:dyDescent="0.3">
      <c r="A204">
        <v>256</v>
      </c>
      <c r="B204">
        <v>20.627535000000002</v>
      </c>
      <c r="C204" t="s">
        <v>8</v>
      </c>
      <c r="D204" t="s">
        <v>161</v>
      </c>
      <c r="E204" t="s">
        <v>10</v>
      </c>
      <c r="F204">
        <v>54</v>
      </c>
      <c r="G204">
        <v>1.7E-5</v>
      </c>
      <c r="H204" t="s">
        <v>162</v>
      </c>
      <c r="J204">
        <f t="shared" si="3"/>
        <v>1E-4</v>
      </c>
    </row>
    <row r="205" spans="1:10" x14ac:dyDescent="0.3">
      <c r="A205">
        <v>257</v>
      </c>
      <c r="B205">
        <v>20.627617000000001</v>
      </c>
      <c r="C205" t="s">
        <v>8</v>
      </c>
      <c r="D205" t="s">
        <v>161</v>
      </c>
      <c r="E205" t="s">
        <v>10</v>
      </c>
      <c r="F205">
        <v>54</v>
      </c>
      <c r="G205">
        <v>8.2000000000000001E-5</v>
      </c>
      <c r="H205" t="s">
        <v>163</v>
      </c>
      <c r="J205">
        <f t="shared" si="3"/>
        <v>1E-4</v>
      </c>
    </row>
    <row r="206" spans="1:10" x14ac:dyDescent="0.3">
      <c r="A206">
        <v>258</v>
      </c>
      <c r="B206">
        <v>20.667055999999999</v>
      </c>
      <c r="C206" t="s">
        <v>161</v>
      </c>
      <c r="D206" t="s">
        <v>8</v>
      </c>
      <c r="E206" t="s">
        <v>10</v>
      </c>
      <c r="F206">
        <v>60</v>
      </c>
      <c r="G206">
        <v>3.9439000000000002E-2</v>
      </c>
      <c r="H206" t="s">
        <v>164</v>
      </c>
      <c r="J206">
        <f t="shared" si="3"/>
        <v>3.95E-2</v>
      </c>
    </row>
    <row r="207" spans="1:10" x14ac:dyDescent="0.3">
      <c r="A207">
        <v>259</v>
      </c>
      <c r="B207">
        <v>20.760166999999999</v>
      </c>
      <c r="C207" t="s">
        <v>8</v>
      </c>
      <c r="D207" t="s">
        <v>139</v>
      </c>
      <c r="E207" t="s">
        <v>10</v>
      </c>
      <c r="F207">
        <v>327</v>
      </c>
      <c r="G207">
        <v>9.3110999999999999E-2</v>
      </c>
      <c r="H207" t="s">
        <v>165</v>
      </c>
      <c r="J207">
        <f t="shared" si="3"/>
        <v>9.3200000000000005E-2</v>
      </c>
    </row>
    <row r="208" spans="1:10" x14ac:dyDescent="0.3">
      <c r="A208">
        <v>260</v>
      </c>
      <c r="B208">
        <v>20.761748999999998</v>
      </c>
      <c r="C208" t="s">
        <v>8</v>
      </c>
      <c r="D208" t="s">
        <v>139</v>
      </c>
      <c r="E208" t="s">
        <v>150</v>
      </c>
      <c r="F208">
        <v>93</v>
      </c>
      <c r="G208">
        <v>1.5820000000000001E-3</v>
      </c>
      <c r="H208" t="s">
        <v>151</v>
      </c>
      <c r="J208">
        <f t="shared" si="3"/>
        <v>1.6000000000000001E-3</v>
      </c>
    </row>
    <row r="209" spans="1:10" x14ac:dyDescent="0.3">
      <c r="A209">
        <v>261</v>
      </c>
      <c r="B209">
        <v>20.764085999999999</v>
      </c>
      <c r="C209" t="s">
        <v>139</v>
      </c>
      <c r="D209" t="s">
        <v>8</v>
      </c>
      <c r="E209" t="s">
        <v>10</v>
      </c>
      <c r="F209">
        <v>60</v>
      </c>
      <c r="G209">
        <v>2.3370000000000001E-3</v>
      </c>
      <c r="H209" t="s">
        <v>166</v>
      </c>
      <c r="J209">
        <f t="shared" si="3"/>
        <v>2.3999999999999998E-3</v>
      </c>
    </row>
    <row r="210" spans="1:10" x14ac:dyDescent="0.3">
      <c r="A210">
        <v>262</v>
      </c>
      <c r="B210">
        <v>20.774661999999999</v>
      </c>
      <c r="C210" t="s">
        <v>139</v>
      </c>
      <c r="D210" t="s">
        <v>8</v>
      </c>
      <c r="E210" t="s">
        <v>10</v>
      </c>
      <c r="F210">
        <v>60</v>
      </c>
      <c r="G210">
        <v>1.0576E-2</v>
      </c>
      <c r="H210" t="s">
        <v>167</v>
      </c>
      <c r="J210">
        <f t="shared" si="3"/>
        <v>1.06E-2</v>
      </c>
    </row>
    <row r="211" spans="1:10" x14ac:dyDescent="0.3">
      <c r="A211">
        <v>263</v>
      </c>
      <c r="B211">
        <v>20.774677000000001</v>
      </c>
      <c r="C211" t="s">
        <v>8</v>
      </c>
      <c r="D211" t="s">
        <v>139</v>
      </c>
      <c r="E211" t="s">
        <v>10</v>
      </c>
      <c r="F211">
        <v>54</v>
      </c>
      <c r="G211">
        <v>1.5E-5</v>
      </c>
      <c r="H211" t="s">
        <v>168</v>
      </c>
      <c r="J211">
        <f t="shared" si="3"/>
        <v>1E-4</v>
      </c>
    </row>
    <row r="212" spans="1:10" x14ac:dyDescent="0.3">
      <c r="A212">
        <v>264</v>
      </c>
      <c r="B212">
        <v>20.845282000000001</v>
      </c>
      <c r="C212" t="s">
        <v>139</v>
      </c>
      <c r="D212" t="s">
        <v>8</v>
      </c>
      <c r="E212" t="s">
        <v>10</v>
      </c>
      <c r="F212">
        <v>74</v>
      </c>
      <c r="G212">
        <v>7.0605000000000001E-2</v>
      </c>
      <c r="H212" t="s">
        <v>169</v>
      </c>
      <c r="J212">
        <f t="shared" si="3"/>
        <v>7.0699999999999999E-2</v>
      </c>
    </row>
    <row r="213" spans="1:10" x14ac:dyDescent="0.3">
      <c r="A213">
        <v>265</v>
      </c>
      <c r="B213">
        <v>20.845367</v>
      </c>
      <c r="C213" t="s">
        <v>8</v>
      </c>
      <c r="D213" t="s">
        <v>139</v>
      </c>
      <c r="E213" t="s">
        <v>10</v>
      </c>
      <c r="F213">
        <v>66</v>
      </c>
      <c r="G213">
        <v>8.5000000000000006E-5</v>
      </c>
      <c r="H213" t="s">
        <v>170</v>
      </c>
      <c r="J213">
        <f t="shared" si="3"/>
        <v>1E-4</v>
      </c>
    </row>
    <row r="214" spans="1:10" x14ac:dyDescent="0.3">
      <c r="A214">
        <v>266</v>
      </c>
      <c r="B214">
        <v>20.908291999999999</v>
      </c>
      <c r="C214" t="s">
        <v>139</v>
      </c>
      <c r="D214" t="s">
        <v>8</v>
      </c>
      <c r="E214" t="s">
        <v>10</v>
      </c>
      <c r="F214">
        <v>60</v>
      </c>
      <c r="G214">
        <v>6.2924999999999995E-2</v>
      </c>
      <c r="H214" t="s">
        <v>171</v>
      </c>
      <c r="J214">
        <f t="shared" si="3"/>
        <v>6.3E-2</v>
      </c>
    </row>
    <row r="215" spans="1:10" x14ac:dyDescent="0.3">
      <c r="A215">
        <v>267</v>
      </c>
      <c r="B215">
        <v>20.929093000000002</v>
      </c>
      <c r="C215" t="s">
        <v>139</v>
      </c>
      <c r="D215" t="s">
        <v>8</v>
      </c>
      <c r="E215" t="s">
        <v>144</v>
      </c>
      <c r="F215">
        <v>510</v>
      </c>
      <c r="G215">
        <v>2.0801E-2</v>
      </c>
      <c r="H215" t="s">
        <v>172</v>
      </c>
      <c r="J215">
        <f t="shared" si="3"/>
        <v>2.0899999999999998E-2</v>
      </c>
    </row>
    <row r="216" spans="1:10" x14ac:dyDescent="0.3">
      <c r="A216">
        <v>268</v>
      </c>
      <c r="B216">
        <v>20.976897999999998</v>
      </c>
      <c r="C216" t="s">
        <v>8</v>
      </c>
      <c r="D216" t="s">
        <v>139</v>
      </c>
      <c r="E216" t="s">
        <v>10</v>
      </c>
      <c r="F216">
        <v>54</v>
      </c>
      <c r="G216">
        <v>4.7805E-2</v>
      </c>
      <c r="H216" t="s">
        <v>173</v>
      </c>
      <c r="J216">
        <f t="shared" si="3"/>
        <v>4.7900000000000005E-2</v>
      </c>
    </row>
    <row r="217" spans="1:10" x14ac:dyDescent="0.3">
      <c r="A217">
        <v>271</v>
      </c>
      <c r="B217">
        <v>21.110938999999998</v>
      </c>
      <c r="C217" t="s">
        <v>8</v>
      </c>
      <c r="D217" t="s">
        <v>139</v>
      </c>
      <c r="E217" t="s">
        <v>10</v>
      </c>
      <c r="F217">
        <v>327</v>
      </c>
      <c r="G217">
        <v>0.13404099999999999</v>
      </c>
      <c r="H217" t="s">
        <v>174</v>
      </c>
      <c r="J217">
        <f t="shared" si="3"/>
        <v>0.1341</v>
      </c>
    </row>
    <row r="218" spans="1:10" x14ac:dyDescent="0.3">
      <c r="A218">
        <v>272</v>
      </c>
      <c r="B218">
        <v>21.112383999999999</v>
      </c>
      <c r="C218" t="s">
        <v>8</v>
      </c>
      <c r="D218" t="s">
        <v>139</v>
      </c>
      <c r="E218" t="s">
        <v>150</v>
      </c>
      <c r="F218">
        <v>196</v>
      </c>
      <c r="G218">
        <v>1.4450000000000001E-3</v>
      </c>
      <c r="H218" t="s">
        <v>151</v>
      </c>
      <c r="J218">
        <f t="shared" si="3"/>
        <v>1.5E-3</v>
      </c>
    </row>
    <row r="219" spans="1:10" x14ac:dyDescent="0.3">
      <c r="A219">
        <v>273</v>
      </c>
      <c r="B219">
        <v>21.127562999999999</v>
      </c>
      <c r="C219" t="s">
        <v>139</v>
      </c>
      <c r="D219" t="s">
        <v>8</v>
      </c>
      <c r="E219" t="s">
        <v>10</v>
      </c>
      <c r="F219">
        <v>60</v>
      </c>
      <c r="G219">
        <v>1.5179E-2</v>
      </c>
      <c r="H219" t="s">
        <v>175</v>
      </c>
      <c r="J219">
        <f t="shared" si="3"/>
        <v>1.52E-2</v>
      </c>
    </row>
    <row r="220" spans="1:10" x14ac:dyDescent="0.3">
      <c r="A220">
        <v>274</v>
      </c>
      <c r="B220">
        <v>21.127562999999999</v>
      </c>
      <c r="C220" t="s">
        <v>139</v>
      </c>
      <c r="D220" t="s">
        <v>8</v>
      </c>
      <c r="E220" t="s">
        <v>10</v>
      </c>
      <c r="F220">
        <v>60</v>
      </c>
      <c r="G220">
        <v>0</v>
      </c>
      <c r="H220" t="s">
        <v>176</v>
      </c>
      <c r="J220">
        <f t="shared" si="3"/>
        <v>0</v>
      </c>
    </row>
    <row r="221" spans="1:10" x14ac:dyDescent="0.3">
      <c r="A221">
        <v>275</v>
      </c>
      <c r="B221">
        <v>21.127589</v>
      </c>
      <c r="C221" t="s">
        <v>8</v>
      </c>
      <c r="D221" t="s">
        <v>139</v>
      </c>
      <c r="E221" t="s">
        <v>10</v>
      </c>
      <c r="F221">
        <v>54</v>
      </c>
      <c r="G221">
        <v>2.5999999999999998E-5</v>
      </c>
      <c r="H221" t="s">
        <v>177</v>
      </c>
      <c r="J221">
        <f t="shared" si="3"/>
        <v>1E-4</v>
      </c>
    </row>
    <row r="222" spans="1:10" x14ac:dyDescent="0.3">
      <c r="A222">
        <v>276</v>
      </c>
      <c r="B222">
        <v>21.562484999999999</v>
      </c>
      <c r="C222" t="s">
        <v>8</v>
      </c>
      <c r="D222" t="s">
        <v>47</v>
      </c>
      <c r="E222" t="s">
        <v>10</v>
      </c>
      <c r="F222">
        <v>66</v>
      </c>
      <c r="G222">
        <v>0.434896</v>
      </c>
      <c r="H222" t="s">
        <v>178</v>
      </c>
      <c r="J222">
        <f t="shared" si="3"/>
        <v>0.43490000000000001</v>
      </c>
    </row>
    <row r="223" spans="1:10" x14ac:dyDescent="0.3">
      <c r="A223">
        <v>278</v>
      </c>
      <c r="B223">
        <v>22.110516000000001</v>
      </c>
      <c r="C223" t="s">
        <v>8</v>
      </c>
      <c r="D223" t="s">
        <v>19</v>
      </c>
      <c r="E223" t="s">
        <v>20</v>
      </c>
      <c r="F223">
        <v>105</v>
      </c>
      <c r="G223">
        <v>0.54803100000000005</v>
      </c>
      <c r="H223" t="s">
        <v>21</v>
      </c>
      <c r="J223">
        <f t="shared" si="3"/>
        <v>0.54810000000000003</v>
      </c>
    </row>
    <row r="224" spans="1:10" x14ac:dyDescent="0.3">
      <c r="A224">
        <v>279</v>
      </c>
      <c r="B224">
        <v>22.139797000000002</v>
      </c>
      <c r="C224" t="s">
        <v>19</v>
      </c>
      <c r="D224" t="s">
        <v>8</v>
      </c>
      <c r="E224" t="s">
        <v>10</v>
      </c>
      <c r="F224">
        <v>60</v>
      </c>
      <c r="G224">
        <v>2.9281000000000001E-2</v>
      </c>
      <c r="H224" t="s">
        <v>179</v>
      </c>
      <c r="J224">
        <f t="shared" si="3"/>
        <v>2.93E-2</v>
      </c>
    </row>
    <row r="225" spans="1:10" x14ac:dyDescent="0.3">
      <c r="A225">
        <v>280</v>
      </c>
      <c r="B225">
        <v>22.146355</v>
      </c>
      <c r="C225" t="s">
        <v>19</v>
      </c>
      <c r="D225" t="s">
        <v>8</v>
      </c>
      <c r="E225" t="s">
        <v>20</v>
      </c>
      <c r="F225">
        <v>135</v>
      </c>
      <c r="G225">
        <v>6.5579999999999996E-3</v>
      </c>
      <c r="H225" t="s">
        <v>21</v>
      </c>
      <c r="J225">
        <f t="shared" si="3"/>
        <v>6.6E-3</v>
      </c>
    </row>
    <row r="226" spans="1:10" x14ac:dyDescent="0.3">
      <c r="A226">
        <v>281</v>
      </c>
      <c r="B226">
        <v>22.146421</v>
      </c>
      <c r="C226" t="s">
        <v>19</v>
      </c>
      <c r="D226" t="s">
        <v>8</v>
      </c>
      <c r="E226" t="s">
        <v>20</v>
      </c>
      <c r="F226">
        <v>99</v>
      </c>
      <c r="G226">
        <v>6.6000000000000005E-5</v>
      </c>
      <c r="H226" t="s">
        <v>21</v>
      </c>
      <c r="J226">
        <f t="shared" si="3"/>
        <v>1E-4</v>
      </c>
    </row>
    <row r="227" spans="1:10" x14ac:dyDescent="0.3">
      <c r="A227">
        <v>282</v>
      </c>
      <c r="B227">
        <v>22.146435</v>
      </c>
      <c r="C227" t="s">
        <v>8</v>
      </c>
      <c r="D227" t="s">
        <v>19</v>
      </c>
      <c r="E227" t="s">
        <v>10</v>
      </c>
      <c r="F227">
        <v>54</v>
      </c>
      <c r="G227">
        <v>1.4E-5</v>
      </c>
      <c r="H227" t="s">
        <v>180</v>
      </c>
      <c r="J227">
        <f t="shared" si="3"/>
        <v>1E-4</v>
      </c>
    </row>
    <row r="228" spans="1:10" x14ac:dyDescent="0.3">
      <c r="A228">
        <v>283</v>
      </c>
      <c r="B228">
        <v>22.146455</v>
      </c>
      <c r="C228" t="s">
        <v>19</v>
      </c>
      <c r="D228" t="s">
        <v>8</v>
      </c>
      <c r="E228" t="s">
        <v>20</v>
      </c>
      <c r="F228">
        <v>85</v>
      </c>
      <c r="G228">
        <v>2.0000000000000002E-5</v>
      </c>
      <c r="H228" t="s">
        <v>21</v>
      </c>
      <c r="J228">
        <f t="shared" si="3"/>
        <v>1E-4</v>
      </c>
    </row>
    <row r="229" spans="1:10" x14ac:dyDescent="0.3">
      <c r="A229">
        <v>284</v>
      </c>
      <c r="B229">
        <v>22.146878999999998</v>
      </c>
      <c r="C229" t="s">
        <v>8</v>
      </c>
      <c r="D229" t="s">
        <v>19</v>
      </c>
      <c r="E229" t="s">
        <v>20</v>
      </c>
      <c r="F229">
        <v>89</v>
      </c>
      <c r="G229">
        <v>4.2400000000000001E-4</v>
      </c>
      <c r="H229" t="s">
        <v>21</v>
      </c>
      <c r="J229">
        <f t="shared" si="3"/>
        <v>5.0000000000000001E-4</v>
      </c>
    </row>
    <row r="230" spans="1:10" x14ac:dyDescent="0.3">
      <c r="A230">
        <v>287</v>
      </c>
      <c r="B230">
        <v>22.217341999999999</v>
      </c>
      <c r="C230" t="s">
        <v>19</v>
      </c>
      <c r="D230" t="s">
        <v>8</v>
      </c>
      <c r="E230" t="s">
        <v>10</v>
      </c>
      <c r="F230">
        <v>60</v>
      </c>
      <c r="G230">
        <v>7.0462999999999998E-2</v>
      </c>
      <c r="H230" t="s">
        <v>181</v>
      </c>
      <c r="J230">
        <f t="shared" si="3"/>
        <v>7.0500000000000007E-2</v>
      </c>
    </row>
    <row r="231" spans="1:10" x14ac:dyDescent="0.3">
      <c r="A231">
        <v>288</v>
      </c>
      <c r="B231">
        <v>22.570042999999998</v>
      </c>
      <c r="C231" t="s">
        <v>8</v>
      </c>
      <c r="D231" t="s">
        <v>47</v>
      </c>
      <c r="E231" t="s">
        <v>10</v>
      </c>
      <c r="F231">
        <v>66</v>
      </c>
      <c r="G231">
        <v>0.35270099999999999</v>
      </c>
      <c r="H231" t="s">
        <v>182</v>
      </c>
      <c r="J231">
        <f t="shared" si="3"/>
        <v>0.3528</v>
      </c>
    </row>
    <row r="232" spans="1:10" x14ac:dyDescent="0.3">
      <c r="A232">
        <v>289</v>
      </c>
      <c r="B232">
        <v>23.046365000000002</v>
      </c>
      <c r="C232" t="s">
        <v>8</v>
      </c>
      <c r="D232" t="s">
        <v>69</v>
      </c>
      <c r="E232" t="s">
        <v>10</v>
      </c>
      <c r="F232">
        <v>66</v>
      </c>
      <c r="G232">
        <v>0.47632200000000002</v>
      </c>
      <c r="H232" t="s">
        <v>71</v>
      </c>
      <c r="J232">
        <f t="shared" si="3"/>
        <v>0.47639999999999999</v>
      </c>
    </row>
    <row r="233" spans="1:10" x14ac:dyDescent="0.3">
      <c r="A233">
        <v>291</v>
      </c>
      <c r="B233">
        <v>24.579948999999999</v>
      </c>
      <c r="C233" t="s">
        <v>8</v>
      </c>
      <c r="D233" t="s">
        <v>47</v>
      </c>
      <c r="E233" t="s">
        <v>10</v>
      </c>
      <c r="F233">
        <v>66</v>
      </c>
      <c r="G233">
        <v>1.5335840000000001</v>
      </c>
      <c r="H233" t="s">
        <v>182</v>
      </c>
      <c r="J233">
        <f t="shared" si="3"/>
        <v>1.5336000000000001</v>
      </c>
    </row>
    <row r="234" spans="1:10" x14ac:dyDescent="0.3">
      <c r="A234">
        <v>292</v>
      </c>
      <c r="B234">
        <v>24.687775999999999</v>
      </c>
      <c r="C234" t="s">
        <v>25</v>
      </c>
      <c r="D234" t="s">
        <v>8</v>
      </c>
      <c r="E234" t="s">
        <v>30</v>
      </c>
      <c r="F234">
        <v>78</v>
      </c>
      <c r="G234">
        <v>0.10782700000000001</v>
      </c>
      <c r="H234" t="s">
        <v>183</v>
      </c>
      <c r="J234">
        <f t="shared" si="3"/>
        <v>0.10790000000000001</v>
      </c>
    </row>
    <row r="235" spans="1:10" x14ac:dyDescent="0.3">
      <c r="A235">
        <v>293</v>
      </c>
      <c r="B235">
        <v>24.733656</v>
      </c>
      <c r="C235" t="s">
        <v>8</v>
      </c>
      <c r="D235" t="s">
        <v>25</v>
      </c>
      <c r="E235" t="s">
        <v>10</v>
      </c>
      <c r="F235">
        <v>54</v>
      </c>
      <c r="G235">
        <v>4.5879999999999997E-2</v>
      </c>
      <c r="H235" t="s">
        <v>184</v>
      </c>
      <c r="J235">
        <f t="shared" si="3"/>
        <v>4.5900000000000003E-2</v>
      </c>
    </row>
    <row r="236" spans="1:10" x14ac:dyDescent="0.3">
      <c r="A236">
        <v>294</v>
      </c>
      <c r="B236">
        <v>24.748933000000001</v>
      </c>
      <c r="C236" t="s">
        <v>8</v>
      </c>
      <c r="D236" t="s">
        <v>25</v>
      </c>
      <c r="E236" t="s">
        <v>30</v>
      </c>
      <c r="F236">
        <v>58</v>
      </c>
      <c r="G236">
        <v>1.5277000000000001E-2</v>
      </c>
      <c r="H236" t="s">
        <v>185</v>
      </c>
      <c r="J236">
        <f t="shared" si="3"/>
        <v>1.5299999999999999E-2</v>
      </c>
    </row>
    <row r="237" spans="1:10" x14ac:dyDescent="0.3">
      <c r="A237">
        <v>295</v>
      </c>
      <c r="B237">
        <v>24.749262999999999</v>
      </c>
      <c r="C237" t="s">
        <v>25</v>
      </c>
      <c r="D237" t="s">
        <v>8</v>
      </c>
      <c r="E237" t="s">
        <v>10</v>
      </c>
      <c r="F237">
        <v>60</v>
      </c>
      <c r="G237">
        <v>3.3E-4</v>
      </c>
      <c r="H237" t="s">
        <v>186</v>
      </c>
      <c r="J237">
        <f t="shared" si="3"/>
        <v>3.9999999999999996E-4</v>
      </c>
    </row>
    <row r="238" spans="1:10" x14ac:dyDescent="0.3">
      <c r="A238">
        <v>296</v>
      </c>
      <c r="B238">
        <v>24.752566999999999</v>
      </c>
      <c r="C238" t="s">
        <v>8</v>
      </c>
      <c r="D238" t="s">
        <v>77</v>
      </c>
      <c r="E238" t="s">
        <v>10</v>
      </c>
      <c r="F238">
        <v>66</v>
      </c>
      <c r="G238">
        <v>3.3040000000000001E-3</v>
      </c>
      <c r="H238" t="s">
        <v>187</v>
      </c>
      <c r="J238">
        <f t="shared" si="3"/>
        <v>3.3999999999999998E-3</v>
      </c>
    </row>
    <row r="239" spans="1:10" x14ac:dyDescent="0.3">
      <c r="A239">
        <v>297</v>
      </c>
      <c r="B239">
        <v>24.792577999999999</v>
      </c>
      <c r="C239" t="s">
        <v>77</v>
      </c>
      <c r="D239" t="s">
        <v>8</v>
      </c>
      <c r="E239" t="s">
        <v>10</v>
      </c>
      <c r="F239">
        <v>66</v>
      </c>
      <c r="G239">
        <v>4.0010999999999998E-2</v>
      </c>
      <c r="H239" t="s">
        <v>188</v>
      </c>
      <c r="J239">
        <f t="shared" si="3"/>
        <v>4.0100000000000004E-2</v>
      </c>
    </row>
    <row r="240" spans="1:10" x14ac:dyDescent="0.3">
      <c r="A240">
        <v>298</v>
      </c>
      <c r="B240">
        <v>24.792631</v>
      </c>
      <c r="C240" t="s">
        <v>8</v>
      </c>
      <c r="D240" t="s">
        <v>77</v>
      </c>
      <c r="E240" t="s">
        <v>10</v>
      </c>
      <c r="F240">
        <v>54</v>
      </c>
      <c r="G240">
        <v>5.3000000000000001E-5</v>
      </c>
      <c r="H240" t="s">
        <v>189</v>
      </c>
      <c r="J240">
        <f t="shared" si="3"/>
        <v>1E-4</v>
      </c>
    </row>
    <row r="241" spans="1:10" x14ac:dyDescent="0.3">
      <c r="A241">
        <v>299</v>
      </c>
      <c r="B241">
        <v>24.793225</v>
      </c>
      <c r="C241" t="s">
        <v>8</v>
      </c>
      <c r="D241" t="s">
        <v>77</v>
      </c>
      <c r="E241" t="s">
        <v>45</v>
      </c>
      <c r="F241">
        <v>571</v>
      </c>
      <c r="G241">
        <v>5.9400000000000002E-4</v>
      </c>
      <c r="H241" t="s">
        <v>81</v>
      </c>
      <c r="J241">
        <f t="shared" si="3"/>
        <v>6.0000000000000006E-4</v>
      </c>
    </row>
    <row r="242" spans="1:10" x14ac:dyDescent="0.3">
      <c r="A242">
        <v>300</v>
      </c>
      <c r="B242">
        <v>24.823119999999999</v>
      </c>
      <c r="C242" t="s">
        <v>77</v>
      </c>
      <c r="D242" t="s">
        <v>8</v>
      </c>
      <c r="E242" t="s">
        <v>10</v>
      </c>
      <c r="F242">
        <v>60</v>
      </c>
      <c r="G242">
        <v>2.9895000000000001E-2</v>
      </c>
      <c r="H242" t="s">
        <v>190</v>
      </c>
      <c r="J242">
        <f t="shared" si="3"/>
        <v>2.9899999999999999E-2</v>
      </c>
    </row>
    <row r="243" spans="1:10" x14ac:dyDescent="0.3">
      <c r="A243">
        <v>301</v>
      </c>
      <c r="B243">
        <v>24.824193999999999</v>
      </c>
      <c r="C243" t="s">
        <v>77</v>
      </c>
      <c r="D243" t="s">
        <v>8</v>
      </c>
      <c r="E243" t="s">
        <v>45</v>
      </c>
      <c r="F243">
        <v>1466</v>
      </c>
      <c r="G243">
        <v>1.0740000000000001E-3</v>
      </c>
      <c r="H243" t="s">
        <v>84</v>
      </c>
      <c r="J243">
        <f t="shared" si="3"/>
        <v>1.1000000000000001E-3</v>
      </c>
    </row>
    <row r="244" spans="1:10" x14ac:dyDescent="0.3">
      <c r="A244">
        <v>302</v>
      </c>
      <c r="B244">
        <v>24.824324000000001</v>
      </c>
      <c r="C244" t="s">
        <v>77</v>
      </c>
      <c r="D244" t="s">
        <v>8</v>
      </c>
      <c r="E244" t="s">
        <v>10</v>
      </c>
      <c r="F244">
        <v>1466</v>
      </c>
      <c r="G244">
        <v>1.2999999999999999E-4</v>
      </c>
      <c r="H244" t="s">
        <v>191</v>
      </c>
      <c r="J244">
        <f t="shared" si="3"/>
        <v>2.0000000000000001E-4</v>
      </c>
    </row>
    <row r="245" spans="1:10" x14ac:dyDescent="0.3">
      <c r="A245">
        <v>303</v>
      </c>
      <c r="B245">
        <v>24.824341</v>
      </c>
      <c r="C245" t="s">
        <v>8</v>
      </c>
      <c r="D245" t="s">
        <v>77</v>
      </c>
      <c r="E245" t="s">
        <v>10</v>
      </c>
      <c r="F245">
        <v>54</v>
      </c>
      <c r="G245">
        <v>1.7E-5</v>
      </c>
      <c r="H245" t="s">
        <v>192</v>
      </c>
      <c r="J245">
        <f t="shared" si="3"/>
        <v>1E-4</v>
      </c>
    </row>
    <row r="246" spans="1:10" x14ac:dyDescent="0.3">
      <c r="A246">
        <v>304</v>
      </c>
      <c r="B246">
        <v>24.824424</v>
      </c>
      <c r="C246" t="s">
        <v>77</v>
      </c>
      <c r="D246" t="s">
        <v>8</v>
      </c>
      <c r="E246" t="s">
        <v>10</v>
      </c>
      <c r="F246">
        <v>1466</v>
      </c>
      <c r="G246">
        <v>8.2999999999999998E-5</v>
      </c>
      <c r="H246" t="s">
        <v>193</v>
      </c>
      <c r="J246">
        <f t="shared" si="3"/>
        <v>1E-4</v>
      </c>
    </row>
    <row r="247" spans="1:10" x14ac:dyDescent="0.3">
      <c r="A247">
        <v>305</v>
      </c>
      <c r="B247">
        <v>24.824449000000001</v>
      </c>
      <c r="C247" t="s">
        <v>77</v>
      </c>
      <c r="D247" t="s">
        <v>8</v>
      </c>
      <c r="E247" t="s">
        <v>45</v>
      </c>
      <c r="F247">
        <v>328</v>
      </c>
      <c r="G247">
        <v>2.5000000000000001E-5</v>
      </c>
      <c r="H247" t="s">
        <v>21</v>
      </c>
      <c r="J247">
        <f t="shared" si="3"/>
        <v>1E-4</v>
      </c>
    </row>
    <row r="248" spans="1:10" x14ac:dyDescent="0.3">
      <c r="A248">
        <v>306</v>
      </c>
      <c r="B248">
        <v>24.824455</v>
      </c>
      <c r="C248" t="s">
        <v>8</v>
      </c>
      <c r="D248" t="s">
        <v>77</v>
      </c>
      <c r="E248" t="s">
        <v>10</v>
      </c>
      <c r="F248">
        <v>54</v>
      </c>
      <c r="G248">
        <v>6.0000000000000002E-6</v>
      </c>
      <c r="H248" t="s">
        <v>194</v>
      </c>
      <c r="J248">
        <f t="shared" si="3"/>
        <v>1E-4</v>
      </c>
    </row>
    <row r="249" spans="1:10" x14ac:dyDescent="0.3">
      <c r="A249">
        <v>307</v>
      </c>
      <c r="B249">
        <v>25.014597999999999</v>
      </c>
      <c r="C249" t="s">
        <v>8</v>
      </c>
      <c r="D249" t="s">
        <v>77</v>
      </c>
      <c r="E249" t="s">
        <v>45</v>
      </c>
      <c r="F249">
        <v>134</v>
      </c>
      <c r="G249">
        <v>0.19014300000000001</v>
      </c>
      <c r="H249" t="s">
        <v>89</v>
      </c>
      <c r="J249">
        <f t="shared" si="3"/>
        <v>0.19019999999999998</v>
      </c>
    </row>
    <row r="250" spans="1:10" x14ac:dyDescent="0.3">
      <c r="A250">
        <v>308</v>
      </c>
      <c r="B250">
        <v>25.014692</v>
      </c>
      <c r="C250" t="s">
        <v>8</v>
      </c>
      <c r="D250" t="s">
        <v>77</v>
      </c>
      <c r="E250" t="s">
        <v>45</v>
      </c>
      <c r="F250">
        <v>140</v>
      </c>
      <c r="G250">
        <v>9.3999999999999994E-5</v>
      </c>
      <c r="H250" t="s">
        <v>21</v>
      </c>
      <c r="J250">
        <f t="shared" si="3"/>
        <v>1E-4</v>
      </c>
    </row>
    <row r="251" spans="1:10" x14ac:dyDescent="0.3">
      <c r="A251">
        <v>309</v>
      </c>
      <c r="B251">
        <v>25.014748000000001</v>
      </c>
      <c r="C251" t="s">
        <v>8</v>
      </c>
      <c r="D251" t="s">
        <v>77</v>
      </c>
      <c r="E251" t="s">
        <v>45</v>
      </c>
      <c r="F251">
        <v>930</v>
      </c>
      <c r="G251">
        <v>5.5999999999999999E-5</v>
      </c>
      <c r="H251" t="s">
        <v>21</v>
      </c>
      <c r="J251">
        <f t="shared" si="3"/>
        <v>1E-4</v>
      </c>
    </row>
    <row r="252" spans="1:10" x14ac:dyDescent="0.3">
      <c r="A252">
        <v>310</v>
      </c>
      <c r="B252">
        <v>25.044352</v>
      </c>
      <c r="C252" t="s">
        <v>77</v>
      </c>
      <c r="D252" t="s">
        <v>8</v>
      </c>
      <c r="E252" t="s">
        <v>10</v>
      </c>
      <c r="F252">
        <v>60</v>
      </c>
      <c r="G252">
        <v>2.9603999999999998E-2</v>
      </c>
      <c r="H252" t="s">
        <v>195</v>
      </c>
      <c r="J252">
        <f t="shared" si="3"/>
        <v>2.9700000000000001E-2</v>
      </c>
    </row>
    <row r="253" spans="1:10" x14ac:dyDescent="0.3">
      <c r="A253">
        <v>311</v>
      </c>
      <c r="B253">
        <v>25.044604</v>
      </c>
      <c r="C253" t="s">
        <v>77</v>
      </c>
      <c r="D253" t="s">
        <v>8</v>
      </c>
      <c r="E253" t="s">
        <v>45</v>
      </c>
      <c r="F253">
        <v>702</v>
      </c>
      <c r="G253">
        <v>2.52E-4</v>
      </c>
      <c r="H253" t="s">
        <v>90</v>
      </c>
      <c r="J253">
        <f t="shared" si="3"/>
        <v>3.0000000000000003E-4</v>
      </c>
    </row>
    <row r="254" spans="1:10" x14ac:dyDescent="0.3">
      <c r="A254">
        <v>312</v>
      </c>
      <c r="B254">
        <v>25.044824999999999</v>
      </c>
      <c r="C254" t="s">
        <v>8</v>
      </c>
      <c r="D254" t="s">
        <v>77</v>
      </c>
      <c r="E254" t="s">
        <v>45</v>
      </c>
      <c r="F254">
        <v>85</v>
      </c>
      <c r="G254">
        <v>2.2100000000000001E-4</v>
      </c>
      <c r="H254" t="s">
        <v>21</v>
      </c>
      <c r="J254">
        <f t="shared" si="3"/>
        <v>3.0000000000000003E-4</v>
      </c>
    </row>
    <row r="255" spans="1:10" x14ac:dyDescent="0.3">
      <c r="A255">
        <v>313</v>
      </c>
      <c r="B255">
        <v>25.04513</v>
      </c>
      <c r="C255" t="s">
        <v>77</v>
      </c>
      <c r="D255" t="s">
        <v>8</v>
      </c>
      <c r="E255" t="s">
        <v>45</v>
      </c>
      <c r="F255">
        <v>85</v>
      </c>
      <c r="G255">
        <v>3.0499999999999999E-4</v>
      </c>
      <c r="H255" t="s">
        <v>21</v>
      </c>
      <c r="J255">
        <f t="shared" si="3"/>
        <v>3.9999999999999996E-4</v>
      </c>
    </row>
    <row r="256" spans="1:10" x14ac:dyDescent="0.3">
      <c r="A256">
        <v>314</v>
      </c>
      <c r="B256">
        <v>25.052553</v>
      </c>
      <c r="C256" t="s">
        <v>77</v>
      </c>
      <c r="D256" t="s">
        <v>8</v>
      </c>
      <c r="E256" t="s">
        <v>45</v>
      </c>
      <c r="F256">
        <v>304</v>
      </c>
      <c r="G256">
        <v>7.4229999999999999E-3</v>
      </c>
      <c r="H256" t="s">
        <v>21</v>
      </c>
      <c r="J256">
        <f t="shared" si="3"/>
        <v>7.5000000000000006E-3</v>
      </c>
    </row>
    <row r="257" spans="1:10" x14ac:dyDescent="0.3">
      <c r="A257">
        <v>315</v>
      </c>
      <c r="B257">
        <v>25.052568999999998</v>
      </c>
      <c r="C257" t="s">
        <v>8</v>
      </c>
      <c r="D257" t="s">
        <v>77</v>
      </c>
      <c r="E257" t="s">
        <v>10</v>
      </c>
      <c r="F257">
        <v>54</v>
      </c>
      <c r="G257">
        <v>1.5999999999999999E-5</v>
      </c>
      <c r="H257" t="s">
        <v>196</v>
      </c>
      <c r="J257">
        <f t="shared" si="3"/>
        <v>1E-4</v>
      </c>
    </row>
    <row r="258" spans="1:10" x14ac:dyDescent="0.3">
      <c r="A258">
        <v>316</v>
      </c>
      <c r="B258">
        <v>25.052811999999999</v>
      </c>
      <c r="C258" t="s">
        <v>77</v>
      </c>
      <c r="D258" t="s">
        <v>8</v>
      </c>
      <c r="E258" t="s">
        <v>45</v>
      </c>
      <c r="F258">
        <v>1168</v>
      </c>
      <c r="G258">
        <v>2.43E-4</v>
      </c>
      <c r="H258" t="s">
        <v>21</v>
      </c>
      <c r="J258">
        <f t="shared" si="3"/>
        <v>3.0000000000000003E-4</v>
      </c>
    </row>
    <row r="259" spans="1:10" x14ac:dyDescent="0.3">
      <c r="A259">
        <v>317</v>
      </c>
      <c r="B259">
        <v>25.052811999999999</v>
      </c>
      <c r="C259" t="s">
        <v>77</v>
      </c>
      <c r="D259" t="s">
        <v>8</v>
      </c>
      <c r="E259" t="s">
        <v>45</v>
      </c>
      <c r="F259">
        <v>93</v>
      </c>
      <c r="G259">
        <v>0</v>
      </c>
      <c r="H259" t="s">
        <v>21</v>
      </c>
      <c r="J259">
        <f t="shared" si="3"/>
        <v>0</v>
      </c>
    </row>
    <row r="260" spans="1:10" x14ac:dyDescent="0.3">
      <c r="A260">
        <v>318</v>
      </c>
      <c r="B260">
        <v>25.052827000000001</v>
      </c>
      <c r="C260" t="s">
        <v>8</v>
      </c>
      <c r="D260" t="s">
        <v>77</v>
      </c>
      <c r="E260" t="s">
        <v>10</v>
      </c>
      <c r="F260">
        <v>54</v>
      </c>
      <c r="G260">
        <v>1.5E-5</v>
      </c>
      <c r="H260" t="s">
        <v>197</v>
      </c>
      <c r="J260">
        <f t="shared" ref="J260:J323" si="4">ROUNDUP(G260,4)</f>
        <v>1E-4</v>
      </c>
    </row>
    <row r="261" spans="1:10" x14ac:dyDescent="0.3">
      <c r="A261">
        <v>319</v>
      </c>
      <c r="B261">
        <v>25.052896</v>
      </c>
      <c r="C261" t="s">
        <v>8</v>
      </c>
      <c r="D261" t="s">
        <v>77</v>
      </c>
      <c r="E261" t="s">
        <v>45</v>
      </c>
      <c r="F261">
        <v>93</v>
      </c>
      <c r="G261">
        <v>6.8999999999999997E-5</v>
      </c>
      <c r="H261" t="s">
        <v>21</v>
      </c>
      <c r="J261">
        <f t="shared" si="4"/>
        <v>1E-4</v>
      </c>
    </row>
    <row r="262" spans="1:10" x14ac:dyDescent="0.3">
      <c r="A262">
        <v>320</v>
      </c>
      <c r="B262">
        <v>25.052962999999998</v>
      </c>
      <c r="C262" t="s">
        <v>8</v>
      </c>
      <c r="D262" t="s">
        <v>77</v>
      </c>
      <c r="E262" t="s">
        <v>45</v>
      </c>
      <c r="F262">
        <v>78</v>
      </c>
      <c r="G262">
        <v>6.7000000000000002E-5</v>
      </c>
      <c r="H262" t="s">
        <v>21</v>
      </c>
      <c r="J262">
        <f t="shared" si="4"/>
        <v>1E-4</v>
      </c>
    </row>
    <row r="263" spans="1:10" x14ac:dyDescent="0.3">
      <c r="A263">
        <v>321</v>
      </c>
      <c r="B263">
        <v>25.053008999999999</v>
      </c>
      <c r="C263" t="s">
        <v>8</v>
      </c>
      <c r="D263" t="s">
        <v>77</v>
      </c>
      <c r="E263" t="s">
        <v>10</v>
      </c>
      <c r="F263">
        <v>54</v>
      </c>
      <c r="G263">
        <v>4.6E-5</v>
      </c>
      <c r="H263" t="s">
        <v>198</v>
      </c>
      <c r="J263">
        <f t="shared" si="4"/>
        <v>1E-4</v>
      </c>
    </row>
    <row r="264" spans="1:10" x14ac:dyDescent="0.3">
      <c r="A264">
        <v>322</v>
      </c>
      <c r="B264">
        <v>25.055319000000001</v>
      </c>
      <c r="C264" t="s">
        <v>8</v>
      </c>
      <c r="D264" t="s">
        <v>95</v>
      </c>
      <c r="E264" t="s">
        <v>10</v>
      </c>
      <c r="F264">
        <v>66</v>
      </c>
      <c r="G264">
        <v>2.31E-3</v>
      </c>
      <c r="H264" t="s">
        <v>199</v>
      </c>
      <c r="J264">
        <f t="shared" si="4"/>
        <v>2.3999999999999998E-3</v>
      </c>
    </row>
    <row r="265" spans="1:10" x14ac:dyDescent="0.3">
      <c r="A265">
        <v>323</v>
      </c>
      <c r="B265">
        <v>25.079205999999999</v>
      </c>
      <c r="C265" t="s">
        <v>77</v>
      </c>
      <c r="D265" t="s">
        <v>8</v>
      </c>
      <c r="E265" t="s">
        <v>10</v>
      </c>
      <c r="F265">
        <v>60</v>
      </c>
      <c r="G265">
        <v>2.3886999999999999E-2</v>
      </c>
      <c r="H265" t="s">
        <v>200</v>
      </c>
      <c r="J265">
        <f t="shared" si="4"/>
        <v>2.3900000000000001E-2</v>
      </c>
    </row>
    <row r="266" spans="1:10" x14ac:dyDescent="0.3">
      <c r="A266">
        <v>324</v>
      </c>
      <c r="B266">
        <v>25.082205999999999</v>
      </c>
      <c r="C266" t="s">
        <v>77</v>
      </c>
      <c r="D266" t="s">
        <v>8</v>
      </c>
      <c r="E266" t="s">
        <v>10</v>
      </c>
      <c r="F266">
        <v>60</v>
      </c>
      <c r="G266">
        <v>3.0000000000000001E-3</v>
      </c>
      <c r="H266" t="s">
        <v>201</v>
      </c>
      <c r="J266">
        <f t="shared" si="4"/>
        <v>3.0000000000000001E-3</v>
      </c>
    </row>
    <row r="267" spans="1:10" x14ac:dyDescent="0.3">
      <c r="A267">
        <v>325</v>
      </c>
      <c r="B267">
        <v>25.082253000000001</v>
      </c>
      <c r="C267" t="s">
        <v>77</v>
      </c>
      <c r="D267" t="s">
        <v>8</v>
      </c>
      <c r="E267" t="s">
        <v>10</v>
      </c>
      <c r="F267">
        <v>60</v>
      </c>
      <c r="G267">
        <v>4.6999999999999997E-5</v>
      </c>
      <c r="H267" t="s">
        <v>202</v>
      </c>
      <c r="J267">
        <f t="shared" si="4"/>
        <v>1E-4</v>
      </c>
    </row>
    <row r="268" spans="1:10" x14ac:dyDescent="0.3">
      <c r="A268">
        <v>326</v>
      </c>
      <c r="B268">
        <v>25.082813999999999</v>
      </c>
      <c r="C268" t="s">
        <v>77</v>
      </c>
      <c r="D268" t="s">
        <v>8</v>
      </c>
      <c r="E268" t="s">
        <v>10</v>
      </c>
      <c r="F268">
        <v>60</v>
      </c>
      <c r="G268">
        <v>5.6099999999999998E-4</v>
      </c>
      <c r="H268" t="s">
        <v>203</v>
      </c>
      <c r="J268">
        <f t="shared" si="4"/>
        <v>6.0000000000000006E-4</v>
      </c>
    </row>
    <row r="269" spans="1:10" x14ac:dyDescent="0.3">
      <c r="A269">
        <v>327</v>
      </c>
      <c r="B269">
        <v>25.082833000000001</v>
      </c>
      <c r="C269" t="s">
        <v>8</v>
      </c>
      <c r="D269" t="s">
        <v>77</v>
      </c>
      <c r="E269" t="s">
        <v>10</v>
      </c>
      <c r="F269">
        <v>54</v>
      </c>
      <c r="G269">
        <v>1.9000000000000001E-5</v>
      </c>
      <c r="H269" t="s">
        <v>204</v>
      </c>
      <c r="J269">
        <f t="shared" si="4"/>
        <v>1E-4</v>
      </c>
    </row>
    <row r="270" spans="1:10" x14ac:dyDescent="0.3">
      <c r="A270">
        <v>328</v>
      </c>
      <c r="B270">
        <v>25.087606999999998</v>
      </c>
      <c r="C270" t="s">
        <v>95</v>
      </c>
      <c r="D270" t="s">
        <v>8</v>
      </c>
      <c r="E270" t="s">
        <v>10</v>
      </c>
      <c r="F270">
        <v>66</v>
      </c>
      <c r="G270">
        <v>4.7739999999999996E-3</v>
      </c>
      <c r="H270" t="s">
        <v>205</v>
      </c>
      <c r="J270">
        <f t="shared" si="4"/>
        <v>4.8000000000000004E-3</v>
      </c>
    </row>
    <row r="271" spans="1:10" x14ac:dyDescent="0.3">
      <c r="A271">
        <v>329</v>
      </c>
      <c r="B271">
        <v>25.087651999999999</v>
      </c>
      <c r="C271" t="s">
        <v>8</v>
      </c>
      <c r="D271" t="s">
        <v>95</v>
      </c>
      <c r="E271" t="s">
        <v>10</v>
      </c>
      <c r="F271">
        <v>54</v>
      </c>
      <c r="G271">
        <v>4.5000000000000003E-5</v>
      </c>
      <c r="H271" t="s">
        <v>206</v>
      </c>
      <c r="J271">
        <f t="shared" si="4"/>
        <v>1E-4</v>
      </c>
    </row>
    <row r="272" spans="1:10" x14ac:dyDescent="0.3">
      <c r="A272">
        <v>330</v>
      </c>
      <c r="B272">
        <v>25.104063</v>
      </c>
      <c r="C272" t="s">
        <v>8</v>
      </c>
      <c r="D272" t="s">
        <v>95</v>
      </c>
      <c r="E272" t="s">
        <v>45</v>
      </c>
      <c r="F272">
        <v>571</v>
      </c>
      <c r="G272">
        <v>1.6410999999999999E-2</v>
      </c>
      <c r="H272" t="s">
        <v>105</v>
      </c>
      <c r="J272">
        <f t="shared" si="4"/>
        <v>1.6500000000000001E-2</v>
      </c>
    </row>
    <row r="273" spans="1:10" x14ac:dyDescent="0.3">
      <c r="A273">
        <v>331</v>
      </c>
      <c r="B273">
        <v>25.134342</v>
      </c>
      <c r="C273" t="s">
        <v>95</v>
      </c>
      <c r="D273" t="s">
        <v>8</v>
      </c>
      <c r="E273" t="s">
        <v>10</v>
      </c>
      <c r="F273">
        <v>60</v>
      </c>
      <c r="G273">
        <v>3.0279E-2</v>
      </c>
      <c r="H273" t="s">
        <v>207</v>
      </c>
      <c r="J273">
        <f t="shared" si="4"/>
        <v>3.0300000000000001E-2</v>
      </c>
    </row>
    <row r="274" spans="1:10" x14ac:dyDescent="0.3">
      <c r="A274">
        <v>332</v>
      </c>
      <c r="B274">
        <v>25.135359000000001</v>
      </c>
      <c r="C274" t="s">
        <v>95</v>
      </c>
      <c r="D274" t="s">
        <v>8</v>
      </c>
      <c r="E274" t="s">
        <v>45</v>
      </c>
      <c r="F274">
        <v>1466</v>
      </c>
      <c r="G274">
        <v>1.0169999999999999E-3</v>
      </c>
      <c r="H274" t="s">
        <v>84</v>
      </c>
      <c r="J274">
        <f t="shared" si="4"/>
        <v>1.1000000000000001E-3</v>
      </c>
    </row>
    <row r="275" spans="1:10" x14ac:dyDescent="0.3">
      <c r="A275">
        <v>333</v>
      </c>
      <c r="B275">
        <v>25.135470999999999</v>
      </c>
      <c r="C275" t="s">
        <v>95</v>
      </c>
      <c r="D275" t="s">
        <v>8</v>
      </c>
      <c r="E275" t="s">
        <v>10</v>
      </c>
      <c r="F275">
        <v>1466</v>
      </c>
      <c r="G275">
        <v>1.12E-4</v>
      </c>
      <c r="H275" t="s">
        <v>208</v>
      </c>
      <c r="J275">
        <f t="shared" si="4"/>
        <v>2.0000000000000001E-4</v>
      </c>
    </row>
    <row r="276" spans="1:10" x14ac:dyDescent="0.3">
      <c r="A276">
        <v>334</v>
      </c>
      <c r="B276">
        <v>25.135484000000002</v>
      </c>
      <c r="C276" t="s">
        <v>8</v>
      </c>
      <c r="D276" t="s">
        <v>95</v>
      </c>
      <c r="E276" t="s">
        <v>10</v>
      </c>
      <c r="F276">
        <v>54</v>
      </c>
      <c r="G276">
        <v>1.2999999999999999E-5</v>
      </c>
      <c r="H276" t="s">
        <v>209</v>
      </c>
      <c r="J276">
        <f t="shared" si="4"/>
        <v>1E-4</v>
      </c>
    </row>
    <row r="277" spans="1:10" x14ac:dyDescent="0.3">
      <c r="A277">
        <v>335</v>
      </c>
      <c r="B277">
        <v>25.135591999999999</v>
      </c>
      <c r="C277" t="s">
        <v>95</v>
      </c>
      <c r="D277" t="s">
        <v>8</v>
      </c>
      <c r="E277" t="s">
        <v>10</v>
      </c>
      <c r="F277">
        <v>1466</v>
      </c>
      <c r="G277">
        <v>1.08E-4</v>
      </c>
      <c r="H277" t="s">
        <v>210</v>
      </c>
      <c r="J277">
        <f t="shared" si="4"/>
        <v>2.0000000000000001E-4</v>
      </c>
    </row>
    <row r="278" spans="1:10" x14ac:dyDescent="0.3">
      <c r="A278">
        <v>336</v>
      </c>
      <c r="B278">
        <v>25.135634</v>
      </c>
      <c r="C278" t="s">
        <v>95</v>
      </c>
      <c r="D278" t="s">
        <v>8</v>
      </c>
      <c r="E278" t="s">
        <v>45</v>
      </c>
      <c r="F278">
        <v>401</v>
      </c>
      <c r="G278">
        <v>4.1999999999999998E-5</v>
      </c>
      <c r="H278" t="s">
        <v>21</v>
      </c>
      <c r="J278">
        <f t="shared" si="4"/>
        <v>1E-4</v>
      </c>
    </row>
    <row r="279" spans="1:10" x14ac:dyDescent="0.3">
      <c r="A279">
        <v>337</v>
      </c>
      <c r="B279">
        <v>25.135638</v>
      </c>
      <c r="C279" t="s">
        <v>8</v>
      </c>
      <c r="D279" t="s">
        <v>95</v>
      </c>
      <c r="E279" t="s">
        <v>10</v>
      </c>
      <c r="F279">
        <v>54</v>
      </c>
      <c r="G279">
        <v>3.9999999999999998E-6</v>
      </c>
      <c r="H279" t="s">
        <v>211</v>
      </c>
      <c r="J279">
        <f t="shared" si="4"/>
        <v>1E-4</v>
      </c>
    </row>
    <row r="280" spans="1:10" x14ac:dyDescent="0.3">
      <c r="A280">
        <v>340</v>
      </c>
      <c r="B280">
        <v>25.323557000000001</v>
      </c>
      <c r="C280" t="s">
        <v>8</v>
      </c>
      <c r="D280" t="s">
        <v>95</v>
      </c>
      <c r="E280" t="s">
        <v>45</v>
      </c>
      <c r="F280">
        <v>134</v>
      </c>
      <c r="G280">
        <v>0.187919</v>
      </c>
      <c r="H280" t="s">
        <v>89</v>
      </c>
      <c r="J280">
        <f t="shared" si="4"/>
        <v>0.188</v>
      </c>
    </row>
    <row r="281" spans="1:10" x14ac:dyDescent="0.3">
      <c r="A281">
        <v>341</v>
      </c>
      <c r="B281">
        <v>25.323651000000002</v>
      </c>
      <c r="C281" t="s">
        <v>8</v>
      </c>
      <c r="D281" t="s">
        <v>95</v>
      </c>
      <c r="E281" t="s">
        <v>45</v>
      </c>
      <c r="F281">
        <v>140</v>
      </c>
      <c r="G281">
        <v>9.3999999999999994E-5</v>
      </c>
      <c r="H281" t="s">
        <v>21</v>
      </c>
      <c r="J281">
        <f t="shared" si="4"/>
        <v>1E-4</v>
      </c>
    </row>
    <row r="282" spans="1:10" x14ac:dyDescent="0.3">
      <c r="A282">
        <v>342</v>
      </c>
      <c r="B282">
        <v>25.323720000000002</v>
      </c>
      <c r="C282" t="s">
        <v>8</v>
      </c>
      <c r="D282" t="s">
        <v>95</v>
      </c>
      <c r="E282" t="s">
        <v>45</v>
      </c>
      <c r="F282">
        <v>1286</v>
      </c>
      <c r="G282">
        <v>6.8999999999999997E-5</v>
      </c>
      <c r="H282" t="s">
        <v>21</v>
      </c>
      <c r="J282">
        <f t="shared" si="4"/>
        <v>1E-4</v>
      </c>
    </row>
    <row r="283" spans="1:10" x14ac:dyDescent="0.3">
      <c r="A283">
        <v>343</v>
      </c>
      <c r="B283">
        <v>25.361357000000002</v>
      </c>
      <c r="C283" t="s">
        <v>95</v>
      </c>
      <c r="D283" t="s">
        <v>8</v>
      </c>
      <c r="E283" t="s">
        <v>10</v>
      </c>
      <c r="F283">
        <v>60</v>
      </c>
      <c r="G283">
        <v>3.7636999999999997E-2</v>
      </c>
      <c r="H283" t="s">
        <v>212</v>
      </c>
      <c r="J283">
        <f t="shared" si="4"/>
        <v>3.7700000000000004E-2</v>
      </c>
    </row>
    <row r="284" spans="1:10" x14ac:dyDescent="0.3">
      <c r="A284">
        <v>344</v>
      </c>
      <c r="B284">
        <v>25.361438</v>
      </c>
      <c r="C284" t="s">
        <v>95</v>
      </c>
      <c r="D284" t="s">
        <v>8</v>
      </c>
      <c r="E284" t="s">
        <v>45</v>
      </c>
      <c r="F284">
        <v>702</v>
      </c>
      <c r="G284">
        <v>8.1000000000000004E-5</v>
      </c>
      <c r="H284" t="s">
        <v>90</v>
      </c>
      <c r="J284">
        <f t="shared" si="4"/>
        <v>1E-4</v>
      </c>
    </row>
    <row r="285" spans="1:10" x14ac:dyDescent="0.3">
      <c r="A285">
        <v>345</v>
      </c>
      <c r="B285">
        <v>25.361438</v>
      </c>
      <c r="C285" t="s">
        <v>95</v>
      </c>
      <c r="D285" t="s">
        <v>8</v>
      </c>
      <c r="E285" t="s">
        <v>45</v>
      </c>
      <c r="F285">
        <v>85</v>
      </c>
      <c r="G285">
        <v>0</v>
      </c>
      <c r="H285" t="s">
        <v>21</v>
      </c>
      <c r="J285">
        <f t="shared" si="4"/>
        <v>0</v>
      </c>
    </row>
    <row r="286" spans="1:10" x14ac:dyDescent="0.3">
      <c r="A286">
        <v>346</v>
      </c>
      <c r="B286">
        <v>25.361454999999999</v>
      </c>
      <c r="C286" t="s">
        <v>8</v>
      </c>
      <c r="D286" t="s">
        <v>95</v>
      </c>
      <c r="E286" t="s">
        <v>10</v>
      </c>
      <c r="F286">
        <v>54</v>
      </c>
      <c r="G286">
        <v>1.7E-5</v>
      </c>
      <c r="H286" t="s">
        <v>213</v>
      </c>
      <c r="J286">
        <f t="shared" si="4"/>
        <v>1E-4</v>
      </c>
    </row>
    <row r="287" spans="1:10" x14ac:dyDescent="0.3">
      <c r="A287">
        <v>347</v>
      </c>
      <c r="B287">
        <v>25.361650999999998</v>
      </c>
      <c r="C287" t="s">
        <v>8</v>
      </c>
      <c r="D287" t="s">
        <v>95</v>
      </c>
      <c r="E287" t="s">
        <v>45</v>
      </c>
      <c r="F287">
        <v>85</v>
      </c>
      <c r="G287">
        <v>1.9599999999999999E-4</v>
      </c>
      <c r="H287" t="s">
        <v>21</v>
      </c>
      <c r="J287">
        <f t="shared" si="4"/>
        <v>2.0000000000000001E-4</v>
      </c>
    </row>
    <row r="288" spans="1:10" x14ac:dyDescent="0.3">
      <c r="A288">
        <v>348</v>
      </c>
      <c r="B288">
        <v>25.395896</v>
      </c>
      <c r="C288" t="s">
        <v>95</v>
      </c>
      <c r="D288" t="s">
        <v>8</v>
      </c>
      <c r="E288" t="s">
        <v>10</v>
      </c>
      <c r="F288">
        <v>60</v>
      </c>
      <c r="G288">
        <v>3.4244999999999998E-2</v>
      </c>
      <c r="H288" t="s">
        <v>214</v>
      </c>
      <c r="J288">
        <f t="shared" si="4"/>
        <v>3.4300000000000004E-2</v>
      </c>
    </row>
    <row r="289" spans="1:10" x14ac:dyDescent="0.3">
      <c r="A289">
        <v>349</v>
      </c>
      <c r="B289">
        <v>25.405843000000001</v>
      </c>
      <c r="C289" t="s">
        <v>95</v>
      </c>
      <c r="D289" t="s">
        <v>8</v>
      </c>
      <c r="E289" t="s">
        <v>45</v>
      </c>
      <c r="F289">
        <v>304</v>
      </c>
      <c r="G289">
        <v>9.9469999999999992E-3</v>
      </c>
      <c r="H289" t="s">
        <v>21</v>
      </c>
      <c r="J289">
        <f t="shared" si="4"/>
        <v>0.01</v>
      </c>
    </row>
    <row r="290" spans="1:10" x14ac:dyDescent="0.3">
      <c r="A290">
        <v>350</v>
      </c>
      <c r="B290">
        <v>25.405885000000001</v>
      </c>
      <c r="C290" t="s">
        <v>95</v>
      </c>
      <c r="D290" t="s">
        <v>8</v>
      </c>
      <c r="E290" t="s">
        <v>45</v>
      </c>
      <c r="F290">
        <v>167</v>
      </c>
      <c r="G290">
        <v>4.1999999999999998E-5</v>
      </c>
      <c r="H290" t="s">
        <v>21</v>
      </c>
      <c r="J290">
        <f t="shared" si="4"/>
        <v>1E-4</v>
      </c>
    </row>
    <row r="291" spans="1:10" x14ac:dyDescent="0.3">
      <c r="A291">
        <v>351</v>
      </c>
      <c r="B291">
        <v>25.405894</v>
      </c>
      <c r="C291" t="s">
        <v>8</v>
      </c>
      <c r="D291" t="s">
        <v>95</v>
      </c>
      <c r="E291" t="s">
        <v>10</v>
      </c>
      <c r="F291">
        <v>54</v>
      </c>
      <c r="G291">
        <v>9.0000000000000002E-6</v>
      </c>
      <c r="H291" t="s">
        <v>215</v>
      </c>
      <c r="J291">
        <f t="shared" si="4"/>
        <v>1E-4</v>
      </c>
    </row>
    <row r="292" spans="1:10" x14ac:dyDescent="0.3">
      <c r="A292">
        <v>352</v>
      </c>
      <c r="B292">
        <v>25.405932</v>
      </c>
      <c r="C292" t="s">
        <v>95</v>
      </c>
      <c r="D292" t="s">
        <v>8</v>
      </c>
      <c r="E292" t="s">
        <v>45</v>
      </c>
      <c r="F292">
        <v>93</v>
      </c>
      <c r="G292">
        <v>3.8000000000000002E-5</v>
      </c>
      <c r="H292" t="s">
        <v>21</v>
      </c>
      <c r="J292">
        <f t="shared" si="4"/>
        <v>1E-4</v>
      </c>
    </row>
    <row r="293" spans="1:10" x14ac:dyDescent="0.3">
      <c r="A293">
        <v>353</v>
      </c>
      <c r="B293">
        <v>25.405987</v>
      </c>
      <c r="C293" t="s">
        <v>8</v>
      </c>
      <c r="D293" t="s">
        <v>95</v>
      </c>
      <c r="E293" t="s">
        <v>45</v>
      </c>
      <c r="F293">
        <v>93</v>
      </c>
      <c r="G293">
        <v>5.5000000000000002E-5</v>
      </c>
      <c r="H293" t="s">
        <v>21</v>
      </c>
      <c r="J293">
        <f t="shared" si="4"/>
        <v>1E-4</v>
      </c>
    </row>
    <row r="294" spans="1:10" x14ac:dyDescent="0.3">
      <c r="A294">
        <v>354</v>
      </c>
      <c r="B294">
        <v>25.406051999999999</v>
      </c>
      <c r="C294" t="s">
        <v>8</v>
      </c>
      <c r="D294" t="s">
        <v>95</v>
      </c>
      <c r="E294" t="s">
        <v>45</v>
      </c>
      <c r="F294">
        <v>78</v>
      </c>
      <c r="G294">
        <v>6.4999999999999994E-5</v>
      </c>
      <c r="H294" t="s">
        <v>21</v>
      </c>
      <c r="J294">
        <f t="shared" si="4"/>
        <v>1E-4</v>
      </c>
    </row>
    <row r="295" spans="1:10" x14ac:dyDescent="0.3">
      <c r="A295">
        <v>355</v>
      </c>
      <c r="B295">
        <v>25.406103999999999</v>
      </c>
      <c r="C295" t="s">
        <v>8</v>
      </c>
      <c r="D295" t="s">
        <v>95</v>
      </c>
      <c r="E295" t="s">
        <v>10</v>
      </c>
      <c r="F295">
        <v>54</v>
      </c>
      <c r="G295">
        <v>5.1999999999999997E-5</v>
      </c>
      <c r="H295" t="s">
        <v>216</v>
      </c>
      <c r="J295">
        <f t="shared" si="4"/>
        <v>1E-4</v>
      </c>
    </row>
    <row r="296" spans="1:10" x14ac:dyDescent="0.3">
      <c r="A296">
        <v>356</v>
      </c>
      <c r="B296">
        <v>25.435887999999998</v>
      </c>
      <c r="C296" t="s">
        <v>95</v>
      </c>
      <c r="D296" t="s">
        <v>8</v>
      </c>
      <c r="E296" t="s">
        <v>10</v>
      </c>
      <c r="F296">
        <v>60</v>
      </c>
      <c r="G296">
        <v>2.9784000000000001E-2</v>
      </c>
      <c r="H296" t="s">
        <v>217</v>
      </c>
      <c r="J296">
        <f t="shared" si="4"/>
        <v>2.98E-2</v>
      </c>
    </row>
    <row r="297" spans="1:10" x14ac:dyDescent="0.3">
      <c r="A297">
        <v>357</v>
      </c>
      <c r="B297">
        <v>25.435953000000001</v>
      </c>
      <c r="C297" t="s">
        <v>95</v>
      </c>
      <c r="D297" t="s">
        <v>8</v>
      </c>
      <c r="E297" t="s">
        <v>10</v>
      </c>
      <c r="F297">
        <v>60</v>
      </c>
      <c r="G297">
        <v>6.4999999999999994E-5</v>
      </c>
      <c r="H297" t="s">
        <v>218</v>
      </c>
      <c r="J297">
        <f t="shared" si="4"/>
        <v>1E-4</v>
      </c>
    </row>
    <row r="298" spans="1:10" x14ac:dyDescent="0.3">
      <c r="A298">
        <v>358</v>
      </c>
      <c r="B298">
        <v>25.435953000000001</v>
      </c>
      <c r="C298" t="s">
        <v>95</v>
      </c>
      <c r="D298" t="s">
        <v>8</v>
      </c>
      <c r="E298" t="s">
        <v>10</v>
      </c>
      <c r="F298">
        <v>60</v>
      </c>
      <c r="G298">
        <v>0</v>
      </c>
      <c r="H298" t="s">
        <v>219</v>
      </c>
      <c r="J298">
        <f t="shared" si="4"/>
        <v>0</v>
      </c>
    </row>
    <row r="299" spans="1:10" x14ac:dyDescent="0.3">
      <c r="A299">
        <v>359</v>
      </c>
      <c r="B299">
        <v>25.671021</v>
      </c>
      <c r="C299" t="s">
        <v>95</v>
      </c>
      <c r="D299" t="s">
        <v>8</v>
      </c>
      <c r="E299" t="s">
        <v>10</v>
      </c>
      <c r="F299">
        <v>60</v>
      </c>
      <c r="G299">
        <v>0.235068</v>
      </c>
      <c r="H299" t="s">
        <v>220</v>
      </c>
      <c r="J299">
        <f t="shared" si="4"/>
        <v>0.23509999999999998</v>
      </c>
    </row>
    <row r="300" spans="1:10" x14ac:dyDescent="0.3">
      <c r="A300">
        <v>360</v>
      </c>
      <c r="B300">
        <v>25.671047000000002</v>
      </c>
      <c r="C300" t="s">
        <v>8</v>
      </c>
      <c r="D300" t="s">
        <v>95</v>
      </c>
      <c r="E300" t="s">
        <v>10</v>
      </c>
      <c r="F300">
        <v>54</v>
      </c>
      <c r="G300">
        <v>2.5999999999999998E-5</v>
      </c>
      <c r="H300" t="s">
        <v>221</v>
      </c>
      <c r="J300">
        <f t="shared" si="4"/>
        <v>1E-4</v>
      </c>
    </row>
    <row r="301" spans="1:10" x14ac:dyDescent="0.3">
      <c r="A301">
        <v>370</v>
      </c>
      <c r="B301">
        <v>27.233332999999998</v>
      </c>
      <c r="C301" t="s">
        <v>25</v>
      </c>
      <c r="D301" t="s">
        <v>8</v>
      </c>
      <c r="E301" t="s">
        <v>30</v>
      </c>
      <c r="F301">
        <v>78</v>
      </c>
      <c r="G301">
        <v>1.5622860000000001</v>
      </c>
      <c r="H301" t="s">
        <v>222</v>
      </c>
      <c r="J301">
        <f t="shared" si="4"/>
        <v>1.5623</v>
      </c>
    </row>
    <row r="302" spans="1:10" x14ac:dyDescent="0.3">
      <c r="A302">
        <v>371</v>
      </c>
      <c r="B302">
        <v>27.238265999999999</v>
      </c>
      <c r="C302" t="s">
        <v>8</v>
      </c>
      <c r="D302" t="s">
        <v>25</v>
      </c>
      <c r="E302" t="s">
        <v>30</v>
      </c>
      <c r="F302">
        <v>58</v>
      </c>
      <c r="G302">
        <v>4.9329999999999999E-3</v>
      </c>
      <c r="H302" t="s">
        <v>223</v>
      </c>
      <c r="J302">
        <f t="shared" si="4"/>
        <v>5.0000000000000001E-3</v>
      </c>
    </row>
    <row r="303" spans="1:10" x14ac:dyDescent="0.3">
      <c r="A303">
        <v>372</v>
      </c>
      <c r="B303">
        <v>27.238596000000001</v>
      </c>
      <c r="C303" t="s">
        <v>25</v>
      </c>
      <c r="D303" t="s">
        <v>8</v>
      </c>
      <c r="E303" t="s">
        <v>10</v>
      </c>
      <c r="F303">
        <v>60</v>
      </c>
      <c r="G303">
        <v>3.3E-4</v>
      </c>
      <c r="H303" t="s">
        <v>224</v>
      </c>
      <c r="J303">
        <f t="shared" si="4"/>
        <v>3.9999999999999996E-4</v>
      </c>
    </row>
    <row r="304" spans="1:10" x14ac:dyDescent="0.3">
      <c r="A304">
        <v>374</v>
      </c>
      <c r="B304">
        <v>28.160456</v>
      </c>
      <c r="C304" t="s">
        <v>8</v>
      </c>
      <c r="D304" t="s">
        <v>19</v>
      </c>
      <c r="E304" t="s">
        <v>20</v>
      </c>
      <c r="F304">
        <v>105</v>
      </c>
      <c r="G304">
        <v>0.92186000000000001</v>
      </c>
      <c r="H304" t="s">
        <v>21</v>
      </c>
      <c r="J304">
        <f t="shared" si="4"/>
        <v>0.92189999999999994</v>
      </c>
    </row>
    <row r="305" spans="1:10" x14ac:dyDescent="0.3">
      <c r="A305">
        <v>376</v>
      </c>
      <c r="B305">
        <v>28.189810999999999</v>
      </c>
      <c r="C305" t="s">
        <v>19</v>
      </c>
      <c r="D305" t="s">
        <v>8</v>
      </c>
      <c r="E305" t="s">
        <v>10</v>
      </c>
      <c r="F305">
        <v>60</v>
      </c>
      <c r="G305">
        <v>2.9354999999999999E-2</v>
      </c>
      <c r="H305" t="s">
        <v>225</v>
      </c>
      <c r="J305">
        <f t="shared" si="4"/>
        <v>2.9399999999999999E-2</v>
      </c>
    </row>
    <row r="306" spans="1:10" x14ac:dyDescent="0.3">
      <c r="A306">
        <v>377</v>
      </c>
      <c r="B306">
        <v>28.197254999999998</v>
      </c>
      <c r="C306" t="s">
        <v>19</v>
      </c>
      <c r="D306" t="s">
        <v>8</v>
      </c>
      <c r="E306" t="s">
        <v>20</v>
      </c>
      <c r="F306">
        <v>135</v>
      </c>
      <c r="G306">
        <v>7.4440000000000001E-3</v>
      </c>
      <c r="H306" t="s">
        <v>21</v>
      </c>
      <c r="J306">
        <f t="shared" si="4"/>
        <v>7.5000000000000006E-3</v>
      </c>
    </row>
    <row r="307" spans="1:10" x14ac:dyDescent="0.3">
      <c r="A307">
        <v>378</v>
      </c>
      <c r="B307">
        <v>28.197282999999999</v>
      </c>
      <c r="C307" t="s">
        <v>19</v>
      </c>
      <c r="D307" t="s">
        <v>8</v>
      </c>
      <c r="E307" t="s">
        <v>20</v>
      </c>
      <c r="F307">
        <v>99</v>
      </c>
      <c r="G307">
        <v>2.8E-5</v>
      </c>
      <c r="H307" t="s">
        <v>21</v>
      </c>
      <c r="J307">
        <f t="shared" si="4"/>
        <v>1E-4</v>
      </c>
    </row>
    <row r="308" spans="1:10" x14ac:dyDescent="0.3">
      <c r="A308">
        <v>379</v>
      </c>
      <c r="B308">
        <v>28.197289999999999</v>
      </c>
      <c r="C308" t="s">
        <v>8</v>
      </c>
      <c r="D308" t="s">
        <v>19</v>
      </c>
      <c r="E308" t="s">
        <v>10</v>
      </c>
      <c r="F308">
        <v>54</v>
      </c>
      <c r="G308">
        <v>6.9999999999999999E-6</v>
      </c>
      <c r="H308" t="s">
        <v>226</v>
      </c>
      <c r="J308">
        <f t="shared" si="4"/>
        <v>1E-4</v>
      </c>
    </row>
    <row r="309" spans="1:10" x14ac:dyDescent="0.3">
      <c r="A309">
        <v>380</v>
      </c>
      <c r="B309">
        <v>28.197659000000002</v>
      </c>
      <c r="C309" t="s">
        <v>19</v>
      </c>
      <c r="D309" t="s">
        <v>8</v>
      </c>
      <c r="E309" t="s">
        <v>20</v>
      </c>
      <c r="F309">
        <v>85</v>
      </c>
      <c r="G309">
        <v>3.6900000000000002E-4</v>
      </c>
      <c r="H309" t="s">
        <v>21</v>
      </c>
      <c r="J309">
        <f t="shared" si="4"/>
        <v>3.9999999999999996E-4</v>
      </c>
    </row>
    <row r="310" spans="1:10" x14ac:dyDescent="0.3">
      <c r="A310">
        <v>381</v>
      </c>
      <c r="B310">
        <v>28.197929999999999</v>
      </c>
      <c r="C310" t="s">
        <v>8</v>
      </c>
      <c r="D310" t="s">
        <v>19</v>
      </c>
      <c r="E310" t="s">
        <v>20</v>
      </c>
      <c r="F310">
        <v>89</v>
      </c>
      <c r="G310">
        <v>2.7099999999999997E-4</v>
      </c>
      <c r="H310" t="s">
        <v>21</v>
      </c>
      <c r="J310">
        <f t="shared" si="4"/>
        <v>3.0000000000000003E-4</v>
      </c>
    </row>
    <row r="311" spans="1:10" x14ac:dyDescent="0.3">
      <c r="A311">
        <v>382</v>
      </c>
      <c r="B311">
        <v>28.267410000000002</v>
      </c>
      <c r="C311" t="s">
        <v>19</v>
      </c>
      <c r="D311" t="s">
        <v>8</v>
      </c>
      <c r="E311" t="s">
        <v>10</v>
      </c>
      <c r="F311">
        <v>60</v>
      </c>
      <c r="G311">
        <v>6.948E-2</v>
      </c>
      <c r="H311" t="s">
        <v>227</v>
      </c>
      <c r="J311">
        <f t="shared" si="4"/>
        <v>6.9500000000000006E-2</v>
      </c>
    </row>
    <row r="312" spans="1:10" x14ac:dyDescent="0.3">
      <c r="A312">
        <v>383</v>
      </c>
      <c r="B312">
        <v>28.589098</v>
      </c>
      <c r="C312" t="s">
        <v>8</v>
      </c>
      <c r="D312" t="s">
        <v>47</v>
      </c>
      <c r="E312" t="s">
        <v>10</v>
      </c>
      <c r="F312">
        <v>66</v>
      </c>
      <c r="G312">
        <v>0.32168799999999997</v>
      </c>
      <c r="H312" t="s">
        <v>182</v>
      </c>
      <c r="J312">
        <f t="shared" si="4"/>
        <v>0.32169999999999999</v>
      </c>
    </row>
    <row r="313" spans="1:10" x14ac:dyDescent="0.3">
      <c r="A313">
        <v>384</v>
      </c>
      <c r="B313">
        <v>29.293647</v>
      </c>
      <c r="C313" t="s">
        <v>8</v>
      </c>
      <c r="D313" t="s">
        <v>228</v>
      </c>
      <c r="E313" t="s">
        <v>10</v>
      </c>
      <c r="F313">
        <v>66</v>
      </c>
      <c r="G313">
        <v>0.70454899999999998</v>
      </c>
      <c r="H313" t="s">
        <v>229</v>
      </c>
      <c r="J313">
        <f t="shared" si="4"/>
        <v>0.7046</v>
      </c>
    </row>
    <row r="314" spans="1:10" x14ac:dyDescent="0.3">
      <c r="A314">
        <v>385</v>
      </c>
      <c r="B314">
        <v>29.560518999999999</v>
      </c>
      <c r="C314" t="s">
        <v>228</v>
      </c>
      <c r="D314" t="s">
        <v>8</v>
      </c>
      <c r="E314" t="s">
        <v>10</v>
      </c>
      <c r="F314">
        <v>66</v>
      </c>
      <c r="G314">
        <v>0.266872</v>
      </c>
      <c r="H314" t="s">
        <v>230</v>
      </c>
      <c r="J314">
        <f t="shared" si="4"/>
        <v>0.26689999999999997</v>
      </c>
    </row>
    <row r="315" spans="1:10" x14ac:dyDescent="0.3">
      <c r="A315">
        <v>386</v>
      </c>
      <c r="B315">
        <v>29.560583000000001</v>
      </c>
      <c r="C315" t="s">
        <v>8</v>
      </c>
      <c r="D315" t="s">
        <v>228</v>
      </c>
      <c r="E315" t="s">
        <v>10</v>
      </c>
      <c r="F315">
        <v>54</v>
      </c>
      <c r="G315">
        <v>6.3999999999999997E-5</v>
      </c>
      <c r="H315" t="s">
        <v>231</v>
      </c>
      <c r="J315">
        <f t="shared" si="4"/>
        <v>1E-4</v>
      </c>
    </row>
    <row r="316" spans="1:10" x14ac:dyDescent="0.3">
      <c r="A316">
        <v>387</v>
      </c>
      <c r="B316">
        <v>29.560751</v>
      </c>
      <c r="C316" t="s">
        <v>8</v>
      </c>
      <c r="D316" t="s">
        <v>228</v>
      </c>
      <c r="E316" t="s">
        <v>20</v>
      </c>
      <c r="F316">
        <v>283</v>
      </c>
      <c r="G316">
        <v>1.6799999999999999E-4</v>
      </c>
      <c r="H316" t="s">
        <v>232</v>
      </c>
      <c r="J316">
        <f t="shared" si="4"/>
        <v>2.0000000000000001E-4</v>
      </c>
    </row>
    <row r="317" spans="1:10" x14ac:dyDescent="0.3">
      <c r="A317">
        <v>466</v>
      </c>
      <c r="B317">
        <v>29.829516000000002</v>
      </c>
      <c r="C317" t="s">
        <v>228</v>
      </c>
      <c r="D317" t="s">
        <v>8</v>
      </c>
      <c r="E317" t="s">
        <v>10</v>
      </c>
      <c r="F317">
        <v>1514</v>
      </c>
      <c r="G317">
        <v>0.26876499999999998</v>
      </c>
      <c r="H317" t="s">
        <v>233</v>
      </c>
      <c r="J317">
        <f t="shared" si="4"/>
        <v>0.26879999999999998</v>
      </c>
    </row>
    <row r="318" spans="1:10" x14ac:dyDescent="0.3">
      <c r="A318">
        <v>467</v>
      </c>
      <c r="B318">
        <v>29.829516000000002</v>
      </c>
      <c r="C318" t="s">
        <v>228</v>
      </c>
      <c r="D318" t="s">
        <v>8</v>
      </c>
      <c r="E318" t="s">
        <v>10</v>
      </c>
      <c r="F318">
        <v>1514</v>
      </c>
      <c r="G318">
        <v>0</v>
      </c>
      <c r="H318" t="s">
        <v>234</v>
      </c>
      <c r="J318">
        <f t="shared" si="4"/>
        <v>0</v>
      </c>
    </row>
    <row r="319" spans="1:10" x14ac:dyDescent="0.3">
      <c r="A319">
        <v>468</v>
      </c>
      <c r="B319">
        <v>29.829574999999998</v>
      </c>
      <c r="C319" t="s">
        <v>8</v>
      </c>
      <c r="D319" t="s">
        <v>228</v>
      </c>
      <c r="E319" t="s">
        <v>10</v>
      </c>
      <c r="F319">
        <v>54</v>
      </c>
      <c r="G319">
        <v>5.8999999999999998E-5</v>
      </c>
      <c r="H319" t="s">
        <v>235</v>
      </c>
      <c r="J319">
        <f t="shared" si="4"/>
        <v>1E-4</v>
      </c>
    </row>
    <row r="320" spans="1:10" x14ac:dyDescent="0.3">
      <c r="A320">
        <v>469</v>
      </c>
      <c r="B320">
        <v>29.833500000000001</v>
      </c>
      <c r="C320" t="s">
        <v>228</v>
      </c>
      <c r="D320" t="s">
        <v>8</v>
      </c>
      <c r="E320" t="s">
        <v>10</v>
      </c>
      <c r="F320">
        <v>1514</v>
      </c>
      <c r="G320">
        <v>3.9249999999999997E-3</v>
      </c>
      <c r="H320" t="s">
        <v>236</v>
      </c>
      <c r="J320">
        <f t="shared" si="4"/>
        <v>4.0000000000000001E-3</v>
      </c>
    </row>
    <row r="321" spans="1:10" x14ac:dyDescent="0.3">
      <c r="A321">
        <v>470</v>
      </c>
      <c r="B321">
        <v>29.833500000000001</v>
      </c>
      <c r="C321" t="s">
        <v>228</v>
      </c>
      <c r="D321" t="s">
        <v>8</v>
      </c>
      <c r="E321" t="s">
        <v>10</v>
      </c>
      <c r="F321">
        <v>1514</v>
      </c>
      <c r="G321">
        <v>0</v>
      </c>
      <c r="H321" t="s">
        <v>237</v>
      </c>
      <c r="J321">
        <f t="shared" si="4"/>
        <v>0</v>
      </c>
    </row>
    <row r="322" spans="1:10" x14ac:dyDescent="0.3">
      <c r="A322">
        <v>471</v>
      </c>
      <c r="B322">
        <v>29.833500000000001</v>
      </c>
      <c r="C322" t="s">
        <v>228</v>
      </c>
      <c r="D322" t="s">
        <v>8</v>
      </c>
      <c r="E322" t="s">
        <v>20</v>
      </c>
      <c r="F322">
        <v>534</v>
      </c>
      <c r="G322">
        <v>0</v>
      </c>
      <c r="H322" t="s">
        <v>238</v>
      </c>
      <c r="J322">
        <f t="shared" si="4"/>
        <v>0</v>
      </c>
    </row>
    <row r="323" spans="1:10" x14ac:dyDescent="0.3">
      <c r="A323">
        <v>472</v>
      </c>
      <c r="B323">
        <v>29.833535999999999</v>
      </c>
      <c r="C323" t="s">
        <v>8</v>
      </c>
      <c r="D323" t="s">
        <v>228</v>
      </c>
      <c r="E323" t="s">
        <v>10</v>
      </c>
      <c r="F323">
        <v>54</v>
      </c>
      <c r="G323">
        <v>3.6000000000000001E-5</v>
      </c>
      <c r="H323" t="s">
        <v>239</v>
      </c>
      <c r="J323">
        <f t="shared" si="4"/>
        <v>1E-4</v>
      </c>
    </row>
    <row r="324" spans="1:10" x14ac:dyDescent="0.3">
      <c r="A324">
        <v>473</v>
      </c>
      <c r="B324">
        <v>29.838298999999999</v>
      </c>
      <c r="C324" t="s">
        <v>8</v>
      </c>
      <c r="D324" t="s">
        <v>228</v>
      </c>
      <c r="E324" t="s">
        <v>20</v>
      </c>
      <c r="F324">
        <v>212</v>
      </c>
      <c r="G324">
        <v>4.7629999999999999E-3</v>
      </c>
      <c r="H324" t="s">
        <v>240</v>
      </c>
      <c r="J324">
        <f t="shared" ref="J324:J387" si="5">ROUNDUP(G324,4)</f>
        <v>4.8000000000000004E-3</v>
      </c>
    </row>
    <row r="325" spans="1:10" x14ac:dyDescent="0.3">
      <c r="A325">
        <v>481</v>
      </c>
      <c r="B325">
        <v>30.113569999999999</v>
      </c>
      <c r="C325" t="s">
        <v>228</v>
      </c>
      <c r="D325" t="s">
        <v>8</v>
      </c>
      <c r="E325" t="s">
        <v>20</v>
      </c>
      <c r="F325">
        <v>105</v>
      </c>
      <c r="G325">
        <v>0.27527099999999999</v>
      </c>
      <c r="H325" t="s">
        <v>241</v>
      </c>
      <c r="J325">
        <f t="shared" si="5"/>
        <v>0.27529999999999999</v>
      </c>
    </row>
    <row r="326" spans="1:10" x14ac:dyDescent="0.3">
      <c r="A326">
        <v>482</v>
      </c>
      <c r="B326">
        <v>30.113605</v>
      </c>
      <c r="C326" t="s">
        <v>8</v>
      </c>
      <c r="D326" t="s">
        <v>228</v>
      </c>
      <c r="E326" t="s">
        <v>10</v>
      </c>
      <c r="F326">
        <v>54</v>
      </c>
      <c r="G326">
        <v>3.4999999999999997E-5</v>
      </c>
      <c r="H326" t="s">
        <v>242</v>
      </c>
      <c r="J326">
        <f t="shared" si="5"/>
        <v>1E-4</v>
      </c>
    </row>
    <row r="327" spans="1:10" x14ac:dyDescent="0.3">
      <c r="A327">
        <v>483</v>
      </c>
      <c r="B327">
        <v>30.114066999999999</v>
      </c>
      <c r="C327" t="s">
        <v>8</v>
      </c>
      <c r="D327" t="s">
        <v>228</v>
      </c>
      <c r="E327" t="s">
        <v>20</v>
      </c>
      <c r="F327">
        <v>512</v>
      </c>
      <c r="G327">
        <v>4.6200000000000001E-4</v>
      </c>
      <c r="H327" t="s">
        <v>21</v>
      </c>
      <c r="J327">
        <f t="shared" si="5"/>
        <v>5.0000000000000001E-4</v>
      </c>
    </row>
    <row r="328" spans="1:10" x14ac:dyDescent="0.3">
      <c r="A328">
        <v>484</v>
      </c>
      <c r="B328">
        <v>30.114084999999999</v>
      </c>
      <c r="C328" t="s">
        <v>8</v>
      </c>
      <c r="D328" t="s">
        <v>228</v>
      </c>
      <c r="E328" t="s">
        <v>20</v>
      </c>
      <c r="F328">
        <v>4833</v>
      </c>
      <c r="G328">
        <v>1.8E-5</v>
      </c>
      <c r="H328" t="s">
        <v>21</v>
      </c>
      <c r="J328">
        <f t="shared" si="5"/>
        <v>1E-4</v>
      </c>
    </row>
    <row r="329" spans="1:10" x14ac:dyDescent="0.3">
      <c r="A329">
        <v>494</v>
      </c>
      <c r="B329">
        <v>30.381087999999998</v>
      </c>
      <c r="C329" t="s">
        <v>228</v>
      </c>
      <c r="D329" t="s">
        <v>8</v>
      </c>
      <c r="E329" t="s">
        <v>10</v>
      </c>
      <c r="F329">
        <v>60</v>
      </c>
      <c r="G329">
        <v>0.26700299999999999</v>
      </c>
      <c r="H329" t="s">
        <v>243</v>
      </c>
      <c r="J329">
        <f t="shared" si="5"/>
        <v>0.2671</v>
      </c>
    </row>
    <row r="330" spans="1:10" x14ac:dyDescent="0.3">
      <c r="A330">
        <v>495</v>
      </c>
      <c r="B330">
        <v>30.381087999999998</v>
      </c>
      <c r="C330" t="s">
        <v>228</v>
      </c>
      <c r="D330" t="s">
        <v>8</v>
      </c>
      <c r="E330" t="s">
        <v>10</v>
      </c>
      <c r="F330">
        <v>60</v>
      </c>
      <c r="G330">
        <v>0</v>
      </c>
      <c r="H330" t="s">
        <v>244</v>
      </c>
      <c r="J330">
        <f t="shared" si="5"/>
        <v>0</v>
      </c>
    </row>
    <row r="331" spans="1:10" x14ac:dyDescent="0.3">
      <c r="A331">
        <v>497</v>
      </c>
      <c r="B331">
        <v>30.393542</v>
      </c>
      <c r="C331" t="s">
        <v>228</v>
      </c>
      <c r="D331" t="s">
        <v>8</v>
      </c>
      <c r="E331" t="s">
        <v>20</v>
      </c>
      <c r="F331">
        <v>506</v>
      </c>
      <c r="G331">
        <v>1.2454E-2</v>
      </c>
      <c r="H331" t="s">
        <v>21</v>
      </c>
      <c r="J331">
        <f t="shared" si="5"/>
        <v>1.2499999999999999E-2</v>
      </c>
    </row>
    <row r="332" spans="1:10" x14ac:dyDescent="0.3">
      <c r="A332">
        <v>498</v>
      </c>
      <c r="B332">
        <v>30.393571000000001</v>
      </c>
      <c r="C332" t="s">
        <v>8</v>
      </c>
      <c r="D332" t="s">
        <v>228</v>
      </c>
      <c r="E332" t="s">
        <v>10</v>
      </c>
      <c r="F332">
        <v>54</v>
      </c>
      <c r="G332">
        <v>2.9E-5</v>
      </c>
      <c r="H332" t="s">
        <v>245</v>
      </c>
      <c r="J332">
        <f t="shared" si="5"/>
        <v>1E-4</v>
      </c>
    </row>
    <row r="333" spans="1:10" x14ac:dyDescent="0.3">
      <c r="A333">
        <v>526</v>
      </c>
      <c r="B333">
        <v>32.992491999999999</v>
      </c>
      <c r="C333" t="s">
        <v>8</v>
      </c>
      <c r="D333" t="s">
        <v>246</v>
      </c>
      <c r="E333" t="s">
        <v>10</v>
      </c>
      <c r="F333">
        <v>54</v>
      </c>
      <c r="G333">
        <v>2.5989209999999998</v>
      </c>
      <c r="H333" t="s">
        <v>247</v>
      </c>
      <c r="J333">
        <f t="shared" si="5"/>
        <v>2.5990000000000002</v>
      </c>
    </row>
    <row r="334" spans="1:10" x14ac:dyDescent="0.3">
      <c r="A334">
        <v>528</v>
      </c>
      <c r="B334">
        <v>33.185870000000001</v>
      </c>
      <c r="C334" t="s">
        <v>8</v>
      </c>
      <c r="D334" t="s">
        <v>19</v>
      </c>
      <c r="E334" t="s">
        <v>10</v>
      </c>
      <c r="F334">
        <v>54</v>
      </c>
      <c r="G334">
        <v>0.19337799999999999</v>
      </c>
      <c r="H334" t="s">
        <v>248</v>
      </c>
      <c r="J334">
        <f t="shared" si="5"/>
        <v>0.19339999999999999</v>
      </c>
    </row>
    <row r="335" spans="1:10" x14ac:dyDescent="0.3">
      <c r="A335">
        <v>529</v>
      </c>
      <c r="B335">
        <v>33.189203999999997</v>
      </c>
      <c r="C335" t="s">
        <v>8</v>
      </c>
      <c r="D335" t="s">
        <v>41</v>
      </c>
      <c r="E335" t="s">
        <v>10</v>
      </c>
      <c r="F335">
        <v>54</v>
      </c>
      <c r="G335">
        <v>3.3340000000000002E-3</v>
      </c>
      <c r="H335" t="s">
        <v>249</v>
      </c>
      <c r="J335">
        <f t="shared" si="5"/>
        <v>3.3999999999999998E-3</v>
      </c>
    </row>
    <row r="336" spans="1:10" x14ac:dyDescent="0.3">
      <c r="A336">
        <v>530</v>
      </c>
      <c r="B336">
        <v>33.220646000000002</v>
      </c>
      <c r="C336" t="s">
        <v>19</v>
      </c>
      <c r="D336" t="s">
        <v>8</v>
      </c>
      <c r="E336" t="s">
        <v>10</v>
      </c>
      <c r="F336">
        <v>60</v>
      </c>
      <c r="G336">
        <v>3.1441999999999998E-2</v>
      </c>
      <c r="H336" t="s">
        <v>250</v>
      </c>
      <c r="J336">
        <f t="shared" si="5"/>
        <v>3.15E-2</v>
      </c>
    </row>
    <row r="337" spans="1:10" x14ac:dyDescent="0.3">
      <c r="A337">
        <v>531</v>
      </c>
      <c r="B337">
        <v>33.220677000000002</v>
      </c>
      <c r="C337" t="s">
        <v>8</v>
      </c>
      <c r="D337" t="s">
        <v>19</v>
      </c>
      <c r="E337" t="s">
        <v>10</v>
      </c>
      <c r="F337">
        <v>54</v>
      </c>
      <c r="G337">
        <v>3.1000000000000001E-5</v>
      </c>
      <c r="H337" t="s">
        <v>251</v>
      </c>
      <c r="J337">
        <f t="shared" si="5"/>
        <v>1E-4</v>
      </c>
    </row>
    <row r="338" spans="1:10" x14ac:dyDescent="0.3">
      <c r="A338">
        <v>534</v>
      </c>
      <c r="B338">
        <v>33.361148</v>
      </c>
      <c r="C338" t="s">
        <v>139</v>
      </c>
      <c r="D338" t="s">
        <v>8</v>
      </c>
      <c r="E338" t="s">
        <v>10</v>
      </c>
      <c r="F338">
        <v>74</v>
      </c>
      <c r="G338">
        <v>0.14047100000000001</v>
      </c>
      <c r="H338" t="s">
        <v>252</v>
      </c>
      <c r="J338">
        <f t="shared" si="5"/>
        <v>0.14049999999999999</v>
      </c>
    </row>
    <row r="339" spans="1:10" x14ac:dyDescent="0.3">
      <c r="A339">
        <v>535</v>
      </c>
      <c r="B339">
        <v>33.361252999999998</v>
      </c>
      <c r="C339" t="s">
        <v>8</v>
      </c>
      <c r="D339" t="s">
        <v>139</v>
      </c>
      <c r="E339" t="s">
        <v>10</v>
      </c>
      <c r="F339">
        <v>66</v>
      </c>
      <c r="G339">
        <v>1.05E-4</v>
      </c>
      <c r="H339" t="s">
        <v>253</v>
      </c>
      <c r="J339">
        <f t="shared" si="5"/>
        <v>2.0000000000000001E-4</v>
      </c>
    </row>
    <row r="340" spans="1:10" x14ac:dyDescent="0.3">
      <c r="A340">
        <v>536</v>
      </c>
      <c r="B340">
        <v>33.362754000000002</v>
      </c>
      <c r="C340" t="s">
        <v>139</v>
      </c>
      <c r="D340" t="s">
        <v>8</v>
      </c>
      <c r="E340" t="s">
        <v>10</v>
      </c>
      <c r="F340">
        <v>60</v>
      </c>
      <c r="G340">
        <v>1.5009999999999999E-3</v>
      </c>
      <c r="H340" t="s">
        <v>254</v>
      </c>
      <c r="J340">
        <f t="shared" si="5"/>
        <v>1.6000000000000001E-3</v>
      </c>
    </row>
    <row r="341" spans="1:10" x14ac:dyDescent="0.3">
      <c r="A341">
        <v>537</v>
      </c>
      <c r="B341">
        <v>33.376874999999998</v>
      </c>
      <c r="C341" t="s">
        <v>139</v>
      </c>
      <c r="D341" t="s">
        <v>8</v>
      </c>
      <c r="E341" t="s">
        <v>10</v>
      </c>
      <c r="F341">
        <v>598</v>
      </c>
      <c r="G341">
        <v>1.4121E-2</v>
      </c>
      <c r="H341" t="s">
        <v>255</v>
      </c>
      <c r="J341">
        <f t="shared" si="5"/>
        <v>1.4199999999999999E-2</v>
      </c>
    </row>
    <row r="342" spans="1:10" x14ac:dyDescent="0.3">
      <c r="A342">
        <v>538</v>
      </c>
      <c r="B342">
        <v>33.378583999999996</v>
      </c>
      <c r="C342" t="s">
        <v>139</v>
      </c>
      <c r="D342" t="s">
        <v>8</v>
      </c>
      <c r="E342" t="s">
        <v>144</v>
      </c>
      <c r="F342">
        <v>60</v>
      </c>
      <c r="G342">
        <v>1.709E-3</v>
      </c>
      <c r="H342" t="s">
        <v>256</v>
      </c>
      <c r="J342">
        <f t="shared" si="5"/>
        <v>1.8E-3</v>
      </c>
    </row>
    <row r="343" spans="1:10" x14ac:dyDescent="0.3">
      <c r="A343">
        <v>539</v>
      </c>
      <c r="B343">
        <v>33.378599999999999</v>
      </c>
      <c r="C343" t="s">
        <v>8</v>
      </c>
      <c r="D343" t="s">
        <v>139</v>
      </c>
      <c r="E343" t="s">
        <v>10</v>
      </c>
      <c r="F343">
        <v>54</v>
      </c>
      <c r="G343">
        <v>1.5999999999999999E-5</v>
      </c>
      <c r="H343" t="s">
        <v>257</v>
      </c>
      <c r="J343">
        <f t="shared" si="5"/>
        <v>1E-4</v>
      </c>
    </row>
    <row r="344" spans="1:10" x14ac:dyDescent="0.3">
      <c r="A344">
        <v>540</v>
      </c>
      <c r="B344">
        <v>33.425336999999999</v>
      </c>
      <c r="C344" t="s">
        <v>41</v>
      </c>
      <c r="D344" t="s">
        <v>8</v>
      </c>
      <c r="E344" t="s">
        <v>10</v>
      </c>
      <c r="F344">
        <v>60</v>
      </c>
      <c r="G344">
        <v>4.6737000000000001E-2</v>
      </c>
      <c r="H344" t="s">
        <v>258</v>
      </c>
      <c r="J344">
        <f t="shared" si="5"/>
        <v>4.6800000000000001E-2</v>
      </c>
    </row>
    <row r="345" spans="1:10" x14ac:dyDescent="0.3">
      <c r="A345">
        <v>541</v>
      </c>
      <c r="B345">
        <v>33.425364999999999</v>
      </c>
      <c r="C345" t="s">
        <v>8</v>
      </c>
      <c r="D345" t="s">
        <v>41</v>
      </c>
      <c r="E345" t="s">
        <v>10</v>
      </c>
      <c r="F345">
        <v>54</v>
      </c>
      <c r="G345">
        <v>2.8E-5</v>
      </c>
      <c r="H345" t="s">
        <v>259</v>
      </c>
      <c r="J345">
        <f t="shared" si="5"/>
        <v>1E-4</v>
      </c>
    </row>
    <row r="346" spans="1:10" x14ac:dyDescent="0.3">
      <c r="A346">
        <v>542</v>
      </c>
      <c r="B346">
        <v>33.537579999999998</v>
      </c>
      <c r="C346" t="s">
        <v>8</v>
      </c>
      <c r="D346" t="s">
        <v>25</v>
      </c>
      <c r="E346" t="s">
        <v>10</v>
      </c>
      <c r="F346">
        <v>66</v>
      </c>
      <c r="G346">
        <v>0.112215</v>
      </c>
      <c r="H346" t="s">
        <v>260</v>
      </c>
      <c r="J346">
        <f t="shared" si="5"/>
        <v>0.1123</v>
      </c>
    </row>
    <row r="347" spans="1:10" x14ac:dyDescent="0.3">
      <c r="A347">
        <v>543</v>
      </c>
      <c r="B347">
        <v>33.537970999999999</v>
      </c>
      <c r="C347" t="s">
        <v>25</v>
      </c>
      <c r="D347" t="s">
        <v>8</v>
      </c>
      <c r="E347" t="s">
        <v>10</v>
      </c>
      <c r="F347">
        <v>66</v>
      </c>
      <c r="G347">
        <v>3.9100000000000002E-4</v>
      </c>
      <c r="H347" t="s">
        <v>261</v>
      </c>
      <c r="J347">
        <f t="shared" si="5"/>
        <v>3.9999999999999996E-4</v>
      </c>
    </row>
    <row r="348" spans="1:10" x14ac:dyDescent="0.3">
      <c r="A348">
        <v>544</v>
      </c>
      <c r="B348">
        <v>33.538018000000001</v>
      </c>
      <c r="C348" t="s">
        <v>8</v>
      </c>
      <c r="D348" t="s">
        <v>25</v>
      </c>
      <c r="E348" t="s">
        <v>10</v>
      </c>
      <c r="F348">
        <v>54</v>
      </c>
      <c r="G348">
        <v>4.6999999999999997E-5</v>
      </c>
      <c r="H348" t="s">
        <v>262</v>
      </c>
      <c r="J348">
        <f t="shared" si="5"/>
        <v>1E-4</v>
      </c>
    </row>
    <row r="349" spans="1:10" x14ac:dyDescent="0.3">
      <c r="A349">
        <v>545</v>
      </c>
      <c r="B349">
        <v>33.538074000000002</v>
      </c>
      <c r="C349" t="s">
        <v>8</v>
      </c>
      <c r="D349" t="s">
        <v>25</v>
      </c>
      <c r="E349" t="s">
        <v>30</v>
      </c>
      <c r="F349">
        <v>108</v>
      </c>
      <c r="G349">
        <v>5.5999999999999999E-5</v>
      </c>
      <c r="H349" t="s">
        <v>31</v>
      </c>
      <c r="J349">
        <f t="shared" si="5"/>
        <v>1E-4</v>
      </c>
    </row>
    <row r="350" spans="1:10" x14ac:dyDescent="0.3">
      <c r="A350">
        <v>546</v>
      </c>
      <c r="B350">
        <v>33.538547999999999</v>
      </c>
      <c r="C350" t="s">
        <v>25</v>
      </c>
      <c r="D350" t="s">
        <v>8</v>
      </c>
      <c r="E350" t="s">
        <v>10</v>
      </c>
      <c r="F350">
        <v>60</v>
      </c>
      <c r="G350">
        <v>4.7399999999999997E-4</v>
      </c>
      <c r="H350" t="s">
        <v>263</v>
      </c>
      <c r="J350">
        <f t="shared" si="5"/>
        <v>5.0000000000000001E-4</v>
      </c>
    </row>
    <row r="351" spans="1:10" x14ac:dyDescent="0.3">
      <c r="A351">
        <v>547</v>
      </c>
      <c r="B351">
        <v>33.540263000000003</v>
      </c>
      <c r="C351" t="s">
        <v>25</v>
      </c>
      <c r="D351" t="s">
        <v>8</v>
      </c>
      <c r="E351" t="s">
        <v>30</v>
      </c>
      <c r="F351">
        <v>60</v>
      </c>
      <c r="G351">
        <v>1.7149999999999999E-3</v>
      </c>
      <c r="H351" t="s">
        <v>33</v>
      </c>
      <c r="J351">
        <f t="shared" si="5"/>
        <v>1.8E-3</v>
      </c>
    </row>
    <row r="352" spans="1:10" x14ac:dyDescent="0.3">
      <c r="A352">
        <v>548</v>
      </c>
      <c r="B352">
        <v>33.548901000000001</v>
      </c>
      <c r="C352" t="s">
        <v>8</v>
      </c>
      <c r="D352" t="s">
        <v>25</v>
      </c>
      <c r="E352" t="s">
        <v>30</v>
      </c>
      <c r="F352">
        <v>76</v>
      </c>
      <c r="G352">
        <v>8.6379999999999998E-3</v>
      </c>
      <c r="H352" t="s">
        <v>264</v>
      </c>
      <c r="J352">
        <f t="shared" si="5"/>
        <v>8.6999999999999994E-3</v>
      </c>
    </row>
    <row r="353" spans="1:10" x14ac:dyDescent="0.3">
      <c r="A353">
        <v>549</v>
      </c>
      <c r="B353">
        <v>33.550649999999997</v>
      </c>
      <c r="C353" t="s">
        <v>25</v>
      </c>
      <c r="D353" t="s">
        <v>8</v>
      </c>
      <c r="E353" t="s">
        <v>30</v>
      </c>
      <c r="F353">
        <v>60</v>
      </c>
      <c r="G353">
        <v>1.7489999999999999E-3</v>
      </c>
      <c r="H353" t="s">
        <v>76</v>
      </c>
      <c r="J353">
        <f t="shared" si="5"/>
        <v>1.8E-3</v>
      </c>
    </row>
    <row r="354" spans="1:10" x14ac:dyDescent="0.3">
      <c r="A354">
        <v>550</v>
      </c>
      <c r="B354">
        <v>33.550690000000003</v>
      </c>
      <c r="C354" t="s">
        <v>25</v>
      </c>
      <c r="D354" t="s">
        <v>8</v>
      </c>
      <c r="E354" t="s">
        <v>30</v>
      </c>
      <c r="F354">
        <v>76</v>
      </c>
      <c r="G354">
        <v>4.0000000000000003E-5</v>
      </c>
      <c r="H354" t="s">
        <v>265</v>
      </c>
      <c r="J354">
        <f t="shared" si="5"/>
        <v>1E-4</v>
      </c>
    </row>
    <row r="355" spans="1:10" x14ac:dyDescent="0.3">
      <c r="A355">
        <v>551</v>
      </c>
      <c r="B355">
        <v>33.557378999999997</v>
      </c>
      <c r="C355" t="s">
        <v>8</v>
      </c>
      <c r="D355" t="s">
        <v>139</v>
      </c>
      <c r="E355" t="s">
        <v>10</v>
      </c>
      <c r="F355">
        <v>327</v>
      </c>
      <c r="G355">
        <v>6.6889999999999996E-3</v>
      </c>
      <c r="H355" t="s">
        <v>266</v>
      </c>
      <c r="J355">
        <f t="shared" si="5"/>
        <v>6.7000000000000002E-3</v>
      </c>
    </row>
    <row r="356" spans="1:10" x14ac:dyDescent="0.3">
      <c r="A356">
        <v>552</v>
      </c>
      <c r="B356">
        <v>33.558219999999999</v>
      </c>
      <c r="C356" t="s">
        <v>8</v>
      </c>
      <c r="D356" t="s">
        <v>25</v>
      </c>
      <c r="E356" t="s">
        <v>10</v>
      </c>
      <c r="F356">
        <v>54</v>
      </c>
      <c r="G356">
        <v>8.4099999999999995E-4</v>
      </c>
      <c r="H356" t="s">
        <v>267</v>
      </c>
      <c r="J356">
        <f t="shared" si="5"/>
        <v>9.0000000000000008E-4</v>
      </c>
    </row>
    <row r="357" spans="1:10" x14ac:dyDescent="0.3">
      <c r="A357">
        <v>553</v>
      </c>
      <c r="B357">
        <v>33.558329999999998</v>
      </c>
      <c r="C357" t="s">
        <v>139</v>
      </c>
      <c r="D357" t="s">
        <v>8</v>
      </c>
      <c r="E357" t="s">
        <v>10</v>
      </c>
      <c r="F357">
        <v>60</v>
      </c>
      <c r="G357">
        <v>1.1E-4</v>
      </c>
      <c r="H357" t="s">
        <v>268</v>
      </c>
      <c r="J357">
        <f t="shared" si="5"/>
        <v>2.0000000000000001E-4</v>
      </c>
    </row>
    <row r="358" spans="1:10" x14ac:dyDescent="0.3">
      <c r="A358">
        <v>554</v>
      </c>
      <c r="B358">
        <v>33.558343999999998</v>
      </c>
      <c r="C358" t="s">
        <v>8</v>
      </c>
      <c r="D358" t="s">
        <v>139</v>
      </c>
      <c r="E358" t="s">
        <v>10</v>
      </c>
      <c r="F358">
        <v>124</v>
      </c>
      <c r="G358">
        <v>1.4E-5</v>
      </c>
      <c r="H358" t="s">
        <v>269</v>
      </c>
      <c r="J358">
        <f t="shared" si="5"/>
        <v>1E-4</v>
      </c>
    </row>
    <row r="359" spans="1:10" x14ac:dyDescent="0.3">
      <c r="A359">
        <v>555</v>
      </c>
      <c r="B359">
        <v>33.558886000000001</v>
      </c>
      <c r="C359" t="s">
        <v>8</v>
      </c>
      <c r="D359" t="s">
        <v>139</v>
      </c>
      <c r="E359" t="s">
        <v>150</v>
      </c>
      <c r="F359">
        <v>54</v>
      </c>
      <c r="G359">
        <v>5.4199999999999995E-4</v>
      </c>
      <c r="H359" t="s">
        <v>151</v>
      </c>
      <c r="J359">
        <f t="shared" si="5"/>
        <v>6.0000000000000006E-4</v>
      </c>
    </row>
    <row r="360" spans="1:10" x14ac:dyDescent="0.3">
      <c r="A360">
        <v>556</v>
      </c>
      <c r="B360">
        <v>33.559319000000002</v>
      </c>
      <c r="C360" t="s">
        <v>139</v>
      </c>
      <c r="D360" t="s">
        <v>8</v>
      </c>
      <c r="E360" t="s">
        <v>10</v>
      </c>
      <c r="F360">
        <v>60</v>
      </c>
      <c r="G360">
        <v>4.3300000000000001E-4</v>
      </c>
      <c r="H360" t="s">
        <v>270</v>
      </c>
      <c r="J360">
        <f t="shared" si="5"/>
        <v>5.0000000000000001E-4</v>
      </c>
    </row>
    <row r="361" spans="1:10" x14ac:dyDescent="0.3">
      <c r="A361">
        <v>557</v>
      </c>
      <c r="B361">
        <v>33.566654999999997</v>
      </c>
      <c r="C361" t="s">
        <v>139</v>
      </c>
      <c r="D361" t="s">
        <v>8</v>
      </c>
      <c r="E361" t="s">
        <v>10</v>
      </c>
      <c r="F361">
        <v>60</v>
      </c>
      <c r="G361">
        <v>7.3359999999999996E-3</v>
      </c>
      <c r="H361" t="s">
        <v>271</v>
      </c>
      <c r="J361">
        <f t="shared" si="5"/>
        <v>7.4000000000000003E-3</v>
      </c>
    </row>
    <row r="362" spans="1:10" x14ac:dyDescent="0.3">
      <c r="A362">
        <v>558</v>
      </c>
      <c r="B362">
        <v>33.566673000000002</v>
      </c>
      <c r="C362" t="s">
        <v>8</v>
      </c>
      <c r="D362" t="s">
        <v>139</v>
      </c>
      <c r="E362" t="s">
        <v>10</v>
      </c>
      <c r="F362">
        <v>54</v>
      </c>
      <c r="G362">
        <v>1.8E-5</v>
      </c>
      <c r="H362" t="s">
        <v>272</v>
      </c>
      <c r="J362">
        <f t="shared" si="5"/>
        <v>1E-4</v>
      </c>
    </row>
    <row r="363" spans="1:10" x14ac:dyDescent="0.3">
      <c r="A363">
        <v>559</v>
      </c>
      <c r="B363">
        <v>33.572977000000002</v>
      </c>
      <c r="C363" t="s">
        <v>8</v>
      </c>
      <c r="D363" t="s">
        <v>25</v>
      </c>
      <c r="E363" t="s">
        <v>30</v>
      </c>
      <c r="F363">
        <v>58</v>
      </c>
      <c r="G363">
        <v>6.3039999999999997E-3</v>
      </c>
      <c r="H363" t="s">
        <v>273</v>
      </c>
      <c r="J363">
        <f t="shared" si="5"/>
        <v>6.4000000000000003E-3</v>
      </c>
    </row>
    <row r="364" spans="1:10" x14ac:dyDescent="0.3">
      <c r="A364">
        <v>560</v>
      </c>
      <c r="B364">
        <v>33.573383</v>
      </c>
      <c r="C364" t="s">
        <v>25</v>
      </c>
      <c r="D364" t="s">
        <v>8</v>
      </c>
      <c r="E364" t="s">
        <v>10</v>
      </c>
      <c r="F364">
        <v>60</v>
      </c>
      <c r="G364">
        <v>4.06E-4</v>
      </c>
      <c r="H364" t="s">
        <v>274</v>
      </c>
      <c r="J364">
        <f t="shared" si="5"/>
        <v>5.0000000000000001E-4</v>
      </c>
    </row>
    <row r="365" spans="1:10" x14ac:dyDescent="0.3">
      <c r="A365">
        <v>561</v>
      </c>
      <c r="B365">
        <v>33.582760999999998</v>
      </c>
      <c r="C365" t="s">
        <v>139</v>
      </c>
      <c r="D365" t="s">
        <v>8</v>
      </c>
      <c r="E365" t="s">
        <v>10</v>
      </c>
      <c r="F365">
        <v>74</v>
      </c>
      <c r="G365">
        <v>9.3779999999999992E-3</v>
      </c>
      <c r="H365" t="s">
        <v>275</v>
      </c>
      <c r="J365">
        <f t="shared" si="5"/>
        <v>9.3999999999999986E-3</v>
      </c>
    </row>
    <row r="366" spans="1:10" x14ac:dyDescent="0.3">
      <c r="A366">
        <v>562</v>
      </c>
      <c r="B366">
        <v>33.582821000000003</v>
      </c>
      <c r="C366" t="s">
        <v>8</v>
      </c>
      <c r="D366" t="s">
        <v>139</v>
      </c>
      <c r="E366" t="s">
        <v>10</v>
      </c>
      <c r="F366">
        <v>66</v>
      </c>
      <c r="G366">
        <v>6.0000000000000002E-5</v>
      </c>
      <c r="H366" t="s">
        <v>276</v>
      </c>
      <c r="J366">
        <f t="shared" si="5"/>
        <v>1E-4</v>
      </c>
    </row>
    <row r="367" spans="1:10" x14ac:dyDescent="0.3">
      <c r="A367">
        <v>563</v>
      </c>
      <c r="B367">
        <v>33.586739999999999</v>
      </c>
      <c r="C367" t="s">
        <v>139</v>
      </c>
      <c r="D367" t="s">
        <v>8</v>
      </c>
      <c r="E367" t="s">
        <v>10</v>
      </c>
      <c r="F367">
        <v>60</v>
      </c>
      <c r="G367">
        <v>3.9189999999999997E-3</v>
      </c>
      <c r="H367" t="s">
        <v>277</v>
      </c>
      <c r="J367">
        <f t="shared" si="5"/>
        <v>4.0000000000000001E-3</v>
      </c>
    </row>
    <row r="368" spans="1:10" x14ac:dyDescent="0.3">
      <c r="A368">
        <v>564</v>
      </c>
      <c r="B368">
        <v>33.589830999999997</v>
      </c>
      <c r="C368" t="s">
        <v>139</v>
      </c>
      <c r="D368" t="s">
        <v>8</v>
      </c>
      <c r="E368" t="s">
        <v>144</v>
      </c>
      <c r="F368">
        <v>510</v>
      </c>
      <c r="G368">
        <v>3.091E-3</v>
      </c>
      <c r="H368" t="s">
        <v>172</v>
      </c>
      <c r="J368">
        <f t="shared" si="5"/>
        <v>3.0999999999999999E-3</v>
      </c>
    </row>
    <row r="369" spans="1:10" x14ac:dyDescent="0.3">
      <c r="A369">
        <v>565</v>
      </c>
      <c r="B369">
        <v>33.634540999999999</v>
      </c>
      <c r="C369" t="s">
        <v>8</v>
      </c>
      <c r="D369" t="s">
        <v>139</v>
      </c>
      <c r="E369" t="s">
        <v>10</v>
      </c>
      <c r="F369">
        <v>54</v>
      </c>
      <c r="G369">
        <v>4.471E-2</v>
      </c>
      <c r="H369" t="s">
        <v>278</v>
      </c>
      <c r="J369">
        <f t="shared" si="5"/>
        <v>4.48E-2</v>
      </c>
    </row>
    <row r="370" spans="1:10" x14ac:dyDescent="0.3">
      <c r="A370">
        <v>566</v>
      </c>
      <c r="B370">
        <v>33.735481999999998</v>
      </c>
      <c r="C370" t="s">
        <v>8</v>
      </c>
      <c r="D370" t="s">
        <v>139</v>
      </c>
      <c r="E370" t="s">
        <v>10</v>
      </c>
      <c r="F370">
        <v>327</v>
      </c>
      <c r="G370">
        <v>0.100941</v>
      </c>
      <c r="H370" t="s">
        <v>279</v>
      </c>
      <c r="J370">
        <f t="shared" si="5"/>
        <v>0.10100000000000001</v>
      </c>
    </row>
    <row r="371" spans="1:10" x14ac:dyDescent="0.3">
      <c r="A371">
        <v>567</v>
      </c>
      <c r="B371">
        <v>33.736778000000001</v>
      </c>
      <c r="C371" t="s">
        <v>8</v>
      </c>
      <c r="D371" t="s">
        <v>139</v>
      </c>
      <c r="E371" t="s">
        <v>150</v>
      </c>
      <c r="F371">
        <v>196</v>
      </c>
      <c r="G371">
        <v>1.2960000000000001E-3</v>
      </c>
      <c r="H371" t="s">
        <v>151</v>
      </c>
      <c r="J371">
        <f t="shared" si="5"/>
        <v>1.2999999999999999E-3</v>
      </c>
    </row>
    <row r="372" spans="1:10" x14ac:dyDescent="0.3">
      <c r="A372">
        <v>568</v>
      </c>
      <c r="B372">
        <v>33.738652999999999</v>
      </c>
      <c r="C372" t="s">
        <v>139</v>
      </c>
      <c r="D372" t="s">
        <v>8</v>
      </c>
      <c r="E372" t="s">
        <v>10</v>
      </c>
      <c r="F372">
        <v>60</v>
      </c>
      <c r="G372">
        <v>1.8749999999999999E-3</v>
      </c>
      <c r="H372" t="s">
        <v>280</v>
      </c>
      <c r="J372">
        <f t="shared" si="5"/>
        <v>1.9E-3</v>
      </c>
    </row>
    <row r="373" spans="1:10" x14ac:dyDescent="0.3">
      <c r="A373">
        <v>569</v>
      </c>
      <c r="B373">
        <v>33.742975000000001</v>
      </c>
      <c r="C373" t="s">
        <v>139</v>
      </c>
      <c r="D373" t="s">
        <v>8</v>
      </c>
      <c r="E373" t="s">
        <v>10</v>
      </c>
      <c r="F373">
        <v>60</v>
      </c>
      <c r="G373">
        <v>4.3220000000000003E-3</v>
      </c>
      <c r="H373" t="s">
        <v>281</v>
      </c>
      <c r="J373">
        <f t="shared" si="5"/>
        <v>4.4000000000000003E-3</v>
      </c>
    </row>
    <row r="374" spans="1:10" x14ac:dyDescent="0.3">
      <c r="A374">
        <v>570</v>
      </c>
      <c r="B374">
        <v>33.742997000000003</v>
      </c>
      <c r="C374" t="s">
        <v>8</v>
      </c>
      <c r="D374" t="s">
        <v>139</v>
      </c>
      <c r="E374" t="s">
        <v>10</v>
      </c>
      <c r="F374">
        <v>54</v>
      </c>
      <c r="G374">
        <v>2.1999999999999999E-5</v>
      </c>
      <c r="H374" t="s">
        <v>282</v>
      </c>
      <c r="J374">
        <f t="shared" si="5"/>
        <v>1E-4</v>
      </c>
    </row>
    <row r="375" spans="1:10" x14ac:dyDescent="0.3">
      <c r="A375">
        <v>579</v>
      </c>
      <c r="B375">
        <v>34.677095999999999</v>
      </c>
      <c r="C375" t="s">
        <v>8</v>
      </c>
      <c r="D375" t="s">
        <v>283</v>
      </c>
      <c r="E375" t="s">
        <v>10</v>
      </c>
      <c r="F375">
        <v>66</v>
      </c>
      <c r="G375">
        <v>0.93409900000000001</v>
      </c>
      <c r="H375" t="s">
        <v>284</v>
      </c>
      <c r="J375">
        <f t="shared" si="5"/>
        <v>0.93410000000000004</v>
      </c>
    </row>
    <row r="376" spans="1:10" x14ac:dyDescent="0.3">
      <c r="A376">
        <v>582</v>
      </c>
      <c r="B376">
        <v>34.737589999999997</v>
      </c>
      <c r="C376" t="s">
        <v>8</v>
      </c>
      <c r="D376" t="s">
        <v>285</v>
      </c>
      <c r="E376" t="s">
        <v>10</v>
      </c>
      <c r="F376">
        <v>66</v>
      </c>
      <c r="G376">
        <v>6.0493999999999999E-2</v>
      </c>
      <c r="H376" t="s">
        <v>286</v>
      </c>
      <c r="J376">
        <f t="shared" si="5"/>
        <v>6.0500000000000005E-2</v>
      </c>
    </row>
    <row r="377" spans="1:10" x14ac:dyDescent="0.3">
      <c r="A377">
        <v>583</v>
      </c>
      <c r="B377">
        <v>34.873823999999999</v>
      </c>
      <c r="C377" t="s">
        <v>283</v>
      </c>
      <c r="D377" t="s">
        <v>8</v>
      </c>
      <c r="E377" t="s">
        <v>10</v>
      </c>
      <c r="F377">
        <v>66</v>
      </c>
      <c r="G377">
        <v>0.13623399999999999</v>
      </c>
      <c r="H377" t="s">
        <v>287</v>
      </c>
      <c r="J377">
        <f t="shared" si="5"/>
        <v>0.13629999999999998</v>
      </c>
    </row>
    <row r="378" spans="1:10" x14ac:dyDescent="0.3">
      <c r="A378">
        <v>584</v>
      </c>
      <c r="B378">
        <v>34.873887000000003</v>
      </c>
      <c r="C378" t="s">
        <v>8</v>
      </c>
      <c r="D378" t="s">
        <v>283</v>
      </c>
      <c r="E378" t="s">
        <v>10</v>
      </c>
      <c r="F378">
        <v>54</v>
      </c>
      <c r="G378">
        <v>6.3E-5</v>
      </c>
      <c r="H378" t="s">
        <v>288</v>
      </c>
      <c r="J378">
        <f t="shared" si="5"/>
        <v>1E-4</v>
      </c>
    </row>
    <row r="379" spans="1:10" x14ac:dyDescent="0.3">
      <c r="A379">
        <v>585</v>
      </c>
      <c r="B379">
        <v>34.874181999999998</v>
      </c>
      <c r="C379" t="s">
        <v>8</v>
      </c>
      <c r="D379" t="s">
        <v>283</v>
      </c>
      <c r="E379" t="s">
        <v>20</v>
      </c>
      <c r="F379">
        <v>268</v>
      </c>
      <c r="G379">
        <v>2.9500000000000001E-4</v>
      </c>
      <c r="H379" t="s">
        <v>289</v>
      </c>
      <c r="J379">
        <f t="shared" si="5"/>
        <v>3.0000000000000003E-4</v>
      </c>
    </row>
    <row r="380" spans="1:10" x14ac:dyDescent="0.3">
      <c r="A380">
        <v>586</v>
      </c>
      <c r="B380">
        <v>35.001688999999999</v>
      </c>
      <c r="C380" t="s">
        <v>285</v>
      </c>
      <c r="D380" t="s">
        <v>8</v>
      </c>
      <c r="E380" t="s">
        <v>10</v>
      </c>
      <c r="F380">
        <v>66</v>
      </c>
      <c r="G380">
        <v>0.12750700000000001</v>
      </c>
      <c r="H380" t="s">
        <v>290</v>
      </c>
      <c r="J380">
        <f t="shared" si="5"/>
        <v>0.12759999999999999</v>
      </c>
    </row>
    <row r="381" spans="1:10" x14ac:dyDescent="0.3">
      <c r="A381">
        <v>587</v>
      </c>
      <c r="B381">
        <v>35.001745</v>
      </c>
      <c r="C381" t="s">
        <v>8</v>
      </c>
      <c r="D381" t="s">
        <v>285</v>
      </c>
      <c r="E381" t="s">
        <v>10</v>
      </c>
      <c r="F381">
        <v>54</v>
      </c>
      <c r="G381">
        <v>5.5999999999999999E-5</v>
      </c>
      <c r="H381" t="s">
        <v>291</v>
      </c>
      <c r="J381">
        <f t="shared" si="5"/>
        <v>1E-4</v>
      </c>
    </row>
    <row r="382" spans="1:10" x14ac:dyDescent="0.3">
      <c r="A382">
        <v>588</v>
      </c>
      <c r="B382">
        <v>35.002685999999997</v>
      </c>
      <c r="C382" t="s">
        <v>8</v>
      </c>
      <c r="D382" t="s">
        <v>285</v>
      </c>
      <c r="E382" t="s">
        <v>20</v>
      </c>
      <c r="F382">
        <v>265</v>
      </c>
      <c r="G382">
        <v>9.41E-4</v>
      </c>
      <c r="H382" t="s">
        <v>292</v>
      </c>
      <c r="J382">
        <f t="shared" si="5"/>
        <v>1E-3</v>
      </c>
    </row>
    <row r="383" spans="1:10" x14ac:dyDescent="0.3">
      <c r="A383">
        <v>589</v>
      </c>
      <c r="B383">
        <v>35.082622000000001</v>
      </c>
      <c r="C383" t="s">
        <v>283</v>
      </c>
      <c r="D383" t="s">
        <v>8</v>
      </c>
      <c r="E383" t="s">
        <v>10</v>
      </c>
      <c r="F383">
        <v>1514</v>
      </c>
      <c r="G383">
        <v>7.9935999999999993E-2</v>
      </c>
      <c r="H383" t="s">
        <v>293</v>
      </c>
      <c r="J383">
        <f t="shared" si="5"/>
        <v>0.08</v>
      </c>
    </row>
    <row r="384" spans="1:10" x14ac:dyDescent="0.3">
      <c r="A384">
        <v>590</v>
      </c>
      <c r="B384">
        <v>35.082731000000003</v>
      </c>
      <c r="C384" t="s">
        <v>283</v>
      </c>
      <c r="D384" t="s">
        <v>8</v>
      </c>
      <c r="E384" t="s">
        <v>10</v>
      </c>
      <c r="F384">
        <v>1514</v>
      </c>
      <c r="G384">
        <v>1.0900000000000001E-4</v>
      </c>
      <c r="H384" t="s">
        <v>294</v>
      </c>
      <c r="J384">
        <f t="shared" si="5"/>
        <v>2.0000000000000001E-4</v>
      </c>
    </row>
    <row r="385" spans="1:10" x14ac:dyDescent="0.3">
      <c r="A385">
        <v>591</v>
      </c>
      <c r="B385">
        <v>35.082743999999998</v>
      </c>
      <c r="C385" t="s">
        <v>8</v>
      </c>
      <c r="D385" t="s">
        <v>283</v>
      </c>
      <c r="E385" t="s">
        <v>10</v>
      </c>
      <c r="F385">
        <v>54</v>
      </c>
      <c r="G385">
        <v>1.2999999999999999E-5</v>
      </c>
      <c r="H385" t="s">
        <v>295</v>
      </c>
      <c r="J385">
        <f t="shared" si="5"/>
        <v>1E-4</v>
      </c>
    </row>
    <row r="386" spans="1:10" x14ac:dyDescent="0.3">
      <c r="A386">
        <v>592</v>
      </c>
      <c r="B386">
        <v>35.082841000000002</v>
      </c>
      <c r="C386" t="s">
        <v>283</v>
      </c>
      <c r="D386" t="s">
        <v>8</v>
      </c>
      <c r="E386" t="s">
        <v>20</v>
      </c>
      <c r="F386">
        <v>1369</v>
      </c>
      <c r="G386">
        <v>9.7E-5</v>
      </c>
      <c r="H386" t="s">
        <v>296</v>
      </c>
      <c r="J386">
        <f t="shared" si="5"/>
        <v>1E-4</v>
      </c>
    </row>
    <row r="387" spans="1:10" x14ac:dyDescent="0.3">
      <c r="A387">
        <v>593</v>
      </c>
      <c r="B387">
        <v>35.085588000000001</v>
      </c>
      <c r="C387" t="s">
        <v>8</v>
      </c>
      <c r="D387" t="s">
        <v>283</v>
      </c>
      <c r="E387" t="s">
        <v>20</v>
      </c>
      <c r="F387">
        <v>212</v>
      </c>
      <c r="G387">
        <v>2.7469999999999999E-3</v>
      </c>
      <c r="H387" t="s">
        <v>240</v>
      </c>
      <c r="J387">
        <f t="shared" si="5"/>
        <v>2.8E-3</v>
      </c>
    </row>
    <row r="388" spans="1:10" x14ac:dyDescent="0.3">
      <c r="A388">
        <v>598</v>
      </c>
      <c r="B388">
        <v>35.192700000000002</v>
      </c>
      <c r="C388" t="s">
        <v>8</v>
      </c>
      <c r="D388" t="s">
        <v>297</v>
      </c>
      <c r="E388" t="s">
        <v>10</v>
      </c>
      <c r="F388">
        <v>66</v>
      </c>
      <c r="G388">
        <v>0.107112</v>
      </c>
      <c r="H388" t="s">
        <v>298</v>
      </c>
      <c r="J388">
        <f t="shared" ref="J388:J451" si="6">ROUNDUP(G388,4)</f>
        <v>0.1072</v>
      </c>
    </row>
    <row r="389" spans="1:10" x14ac:dyDescent="0.3">
      <c r="A389">
        <v>627</v>
      </c>
      <c r="B389">
        <v>35.222287000000001</v>
      </c>
      <c r="C389" t="s">
        <v>297</v>
      </c>
      <c r="D389" t="s">
        <v>8</v>
      </c>
      <c r="E389" t="s">
        <v>10</v>
      </c>
      <c r="F389">
        <v>66</v>
      </c>
      <c r="G389">
        <v>2.9586999999999999E-2</v>
      </c>
      <c r="H389" t="s">
        <v>299</v>
      </c>
      <c r="J389">
        <f t="shared" si="6"/>
        <v>2.9599999999999998E-2</v>
      </c>
    </row>
    <row r="390" spans="1:10" x14ac:dyDescent="0.3">
      <c r="A390">
        <v>628</v>
      </c>
      <c r="B390">
        <v>35.222338999999998</v>
      </c>
      <c r="C390" t="s">
        <v>8</v>
      </c>
      <c r="D390" t="s">
        <v>297</v>
      </c>
      <c r="E390" t="s">
        <v>10</v>
      </c>
      <c r="F390">
        <v>54</v>
      </c>
      <c r="G390">
        <v>5.1999999999999997E-5</v>
      </c>
      <c r="H390" t="s">
        <v>300</v>
      </c>
      <c r="J390">
        <f t="shared" si="6"/>
        <v>1E-4</v>
      </c>
    </row>
    <row r="391" spans="1:10" x14ac:dyDescent="0.3">
      <c r="A391">
        <v>629</v>
      </c>
      <c r="B391">
        <v>35.222515999999999</v>
      </c>
      <c r="C391" t="s">
        <v>8</v>
      </c>
      <c r="D391" t="s">
        <v>297</v>
      </c>
      <c r="E391" t="s">
        <v>45</v>
      </c>
      <c r="F391">
        <v>811</v>
      </c>
      <c r="G391">
        <v>1.7699999999999999E-4</v>
      </c>
      <c r="H391" t="s">
        <v>301</v>
      </c>
      <c r="J391">
        <f t="shared" si="6"/>
        <v>2.0000000000000001E-4</v>
      </c>
    </row>
    <row r="392" spans="1:10" x14ac:dyDescent="0.3">
      <c r="A392">
        <v>630</v>
      </c>
      <c r="B392">
        <v>35.252406000000001</v>
      </c>
      <c r="C392" t="s">
        <v>297</v>
      </c>
      <c r="D392" t="s">
        <v>8</v>
      </c>
      <c r="E392" t="s">
        <v>10</v>
      </c>
      <c r="F392">
        <v>60</v>
      </c>
      <c r="G392">
        <v>2.989E-2</v>
      </c>
      <c r="H392" t="s">
        <v>302</v>
      </c>
      <c r="J392">
        <f t="shared" si="6"/>
        <v>2.9899999999999999E-2</v>
      </c>
    </row>
    <row r="393" spans="1:10" x14ac:dyDescent="0.3">
      <c r="A393">
        <v>631</v>
      </c>
      <c r="B393">
        <v>35.253642999999997</v>
      </c>
      <c r="C393" t="s">
        <v>297</v>
      </c>
      <c r="D393" t="s">
        <v>8</v>
      </c>
      <c r="E393" t="s">
        <v>45</v>
      </c>
      <c r="F393">
        <v>425</v>
      </c>
      <c r="G393">
        <v>1.237E-3</v>
      </c>
      <c r="H393" t="s">
        <v>303</v>
      </c>
      <c r="J393">
        <f t="shared" si="6"/>
        <v>1.2999999999999999E-3</v>
      </c>
    </row>
    <row r="394" spans="1:10" x14ac:dyDescent="0.3">
      <c r="A394">
        <v>632</v>
      </c>
      <c r="B394">
        <v>35.253881</v>
      </c>
      <c r="C394" t="s">
        <v>8</v>
      </c>
      <c r="D394" t="s">
        <v>297</v>
      </c>
      <c r="E394" t="s">
        <v>45</v>
      </c>
      <c r="F394">
        <v>128</v>
      </c>
      <c r="G394">
        <v>2.3800000000000001E-4</v>
      </c>
      <c r="H394" t="s">
        <v>89</v>
      </c>
      <c r="J394">
        <f t="shared" si="6"/>
        <v>3.0000000000000003E-4</v>
      </c>
    </row>
    <row r="395" spans="1:10" x14ac:dyDescent="0.3">
      <c r="A395">
        <v>633</v>
      </c>
      <c r="B395">
        <v>35.253999</v>
      </c>
      <c r="C395" t="s">
        <v>8</v>
      </c>
      <c r="D395" t="s">
        <v>297</v>
      </c>
      <c r="E395" t="s">
        <v>45</v>
      </c>
      <c r="F395">
        <v>146</v>
      </c>
      <c r="G395">
        <v>1.18E-4</v>
      </c>
      <c r="H395" t="s">
        <v>21</v>
      </c>
      <c r="J395">
        <f t="shared" si="6"/>
        <v>2.0000000000000001E-4</v>
      </c>
    </row>
    <row r="396" spans="1:10" x14ac:dyDescent="0.3">
      <c r="A396">
        <v>634</v>
      </c>
      <c r="B396">
        <v>35.254103000000001</v>
      </c>
      <c r="C396" t="s">
        <v>8</v>
      </c>
      <c r="D396" t="s">
        <v>297</v>
      </c>
      <c r="E396" t="s">
        <v>45</v>
      </c>
      <c r="F396">
        <v>283</v>
      </c>
      <c r="G396">
        <v>1.0399999999999999E-4</v>
      </c>
      <c r="H396" t="s">
        <v>21</v>
      </c>
      <c r="J396">
        <f t="shared" si="6"/>
        <v>2.0000000000000001E-4</v>
      </c>
    </row>
    <row r="397" spans="1:10" x14ac:dyDescent="0.3">
      <c r="A397">
        <v>635</v>
      </c>
      <c r="B397">
        <v>35.254122000000002</v>
      </c>
      <c r="C397" t="s">
        <v>8</v>
      </c>
      <c r="D397" t="s">
        <v>297</v>
      </c>
      <c r="E397" t="s">
        <v>45</v>
      </c>
      <c r="F397">
        <v>243</v>
      </c>
      <c r="G397">
        <v>1.9000000000000001E-5</v>
      </c>
      <c r="H397" t="s">
        <v>21</v>
      </c>
      <c r="J397">
        <f t="shared" si="6"/>
        <v>1E-4</v>
      </c>
    </row>
    <row r="398" spans="1:10" x14ac:dyDescent="0.3">
      <c r="A398">
        <v>636</v>
      </c>
      <c r="B398">
        <v>35.26755</v>
      </c>
      <c r="C398" t="s">
        <v>285</v>
      </c>
      <c r="D398" t="s">
        <v>8</v>
      </c>
      <c r="E398" t="s">
        <v>10</v>
      </c>
      <c r="F398">
        <v>1514</v>
      </c>
      <c r="G398">
        <v>1.3428000000000001E-2</v>
      </c>
      <c r="H398" t="s">
        <v>304</v>
      </c>
      <c r="J398">
        <f t="shared" si="6"/>
        <v>1.35E-2</v>
      </c>
    </row>
    <row r="399" spans="1:10" x14ac:dyDescent="0.3">
      <c r="A399">
        <v>637</v>
      </c>
      <c r="B399">
        <v>35.267631000000002</v>
      </c>
      <c r="C399" t="s">
        <v>285</v>
      </c>
      <c r="D399" t="s">
        <v>8</v>
      </c>
      <c r="E399" t="s">
        <v>20</v>
      </c>
      <c r="F399">
        <v>1025</v>
      </c>
      <c r="G399">
        <v>8.1000000000000004E-5</v>
      </c>
      <c r="H399" t="s">
        <v>296</v>
      </c>
      <c r="J399">
        <f t="shared" si="6"/>
        <v>1E-4</v>
      </c>
    </row>
    <row r="400" spans="1:10" x14ac:dyDescent="0.3">
      <c r="A400">
        <v>638</v>
      </c>
      <c r="B400">
        <v>35.267648000000001</v>
      </c>
      <c r="C400" t="s">
        <v>8</v>
      </c>
      <c r="D400" t="s">
        <v>285</v>
      </c>
      <c r="E400" t="s">
        <v>10</v>
      </c>
      <c r="F400">
        <v>54</v>
      </c>
      <c r="G400">
        <v>1.7E-5</v>
      </c>
      <c r="H400" t="s">
        <v>305</v>
      </c>
      <c r="J400">
        <f t="shared" si="6"/>
        <v>1E-4</v>
      </c>
    </row>
    <row r="401" spans="1:10" x14ac:dyDescent="0.3">
      <c r="A401">
        <v>639</v>
      </c>
      <c r="B401">
        <v>35.276359999999997</v>
      </c>
      <c r="C401" t="s">
        <v>8</v>
      </c>
      <c r="D401" t="s">
        <v>285</v>
      </c>
      <c r="E401" t="s">
        <v>20</v>
      </c>
      <c r="F401">
        <v>212</v>
      </c>
      <c r="G401">
        <v>8.7119999999999993E-3</v>
      </c>
      <c r="H401" t="s">
        <v>240</v>
      </c>
      <c r="J401">
        <f t="shared" si="6"/>
        <v>8.7999999999999988E-3</v>
      </c>
    </row>
    <row r="402" spans="1:10" x14ac:dyDescent="0.3">
      <c r="A402">
        <v>640</v>
      </c>
      <c r="B402">
        <v>35.283611000000001</v>
      </c>
      <c r="C402" t="s">
        <v>297</v>
      </c>
      <c r="D402" t="s">
        <v>8</v>
      </c>
      <c r="E402" t="s">
        <v>45</v>
      </c>
      <c r="F402">
        <v>1002</v>
      </c>
      <c r="G402">
        <v>7.2509999999999996E-3</v>
      </c>
      <c r="H402" t="s">
        <v>90</v>
      </c>
      <c r="J402">
        <f t="shared" si="6"/>
        <v>7.3000000000000001E-3</v>
      </c>
    </row>
    <row r="403" spans="1:10" x14ac:dyDescent="0.3">
      <c r="A403">
        <v>641</v>
      </c>
      <c r="B403">
        <v>35.283771999999999</v>
      </c>
      <c r="C403" t="s">
        <v>8</v>
      </c>
      <c r="D403" t="s">
        <v>297</v>
      </c>
      <c r="E403" t="s">
        <v>45</v>
      </c>
      <c r="F403">
        <v>85</v>
      </c>
      <c r="G403">
        <v>1.6100000000000001E-4</v>
      </c>
      <c r="H403" t="s">
        <v>21</v>
      </c>
      <c r="J403">
        <f t="shared" si="6"/>
        <v>2.0000000000000001E-4</v>
      </c>
    </row>
    <row r="404" spans="1:10" x14ac:dyDescent="0.3">
      <c r="A404">
        <v>642</v>
      </c>
      <c r="B404">
        <v>35.283926000000001</v>
      </c>
      <c r="C404" t="s">
        <v>297</v>
      </c>
      <c r="D404" t="s">
        <v>8</v>
      </c>
      <c r="E404" t="s">
        <v>45</v>
      </c>
      <c r="F404">
        <v>85</v>
      </c>
      <c r="G404">
        <v>1.54E-4</v>
      </c>
      <c r="H404" t="s">
        <v>21</v>
      </c>
      <c r="J404">
        <f t="shared" si="6"/>
        <v>2.0000000000000001E-4</v>
      </c>
    </row>
    <row r="405" spans="1:10" x14ac:dyDescent="0.3">
      <c r="A405">
        <v>643</v>
      </c>
      <c r="B405">
        <v>35.284765</v>
      </c>
      <c r="C405" t="s">
        <v>283</v>
      </c>
      <c r="D405" t="s">
        <v>8</v>
      </c>
      <c r="E405" t="s">
        <v>20</v>
      </c>
      <c r="F405">
        <v>105</v>
      </c>
      <c r="G405">
        <v>8.3900000000000001E-4</v>
      </c>
      <c r="H405" t="s">
        <v>241</v>
      </c>
      <c r="J405">
        <f t="shared" si="6"/>
        <v>9.0000000000000008E-4</v>
      </c>
    </row>
    <row r="406" spans="1:10" x14ac:dyDescent="0.3">
      <c r="A406">
        <v>644</v>
      </c>
      <c r="B406">
        <v>35.284813999999997</v>
      </c>
      <c r="C406" t="s">
        <v>283</v>
      </c>
      <c r="D406" t="s">
        <v>8</v>
      </c>
      <c r="E406" t="s">
        <v>20</v>
      </c>
      <c r="F406">
        <v>123</v>
      </c>
      <c r="G406">
        <v>4.8999999999999998E-5</v>
      </c>
      <c r="H406" t="s">
        <v>21</v>
      </c>
      <c r="J406">
        <f t="shared" si="6"/>
        <v>1E-4</v>
      </c>
    </row>
    <row r="407" spans="1:10" x14ac:dyDescent="0.3">
      <c r="A407">
        <v>645</v>
      </c>
      <c r="B407">
        <v>35.284821999999998</v>
      </c>
      <c r="C407" t="s">
        <v>8</v>
      </c>
      <c r="D407" t="s">
        <v>283</v>
      </c>
      <c r="E407" t="s">
        <v>10</v>
      </c>
      <c r="F407">
        <v>54</v>
      </c>
      <c r="G407">
        <v>7.9999999999999996E-6</v>
      </c>
      <c r="H407" t="s">
        <v>306</v>
      </c>
      <c r="J407">
        <f t="shared" si="6"/>
        <v>1E-4</v>
      </c>
    </row>
    <row r="408" spans="1:10" x14ac:dyDescent="0.3">
      <c r="A408">
        <v>646</v>
      </c>
      <c r="B408">
        <v>35.285451000000002</v>
      </c>
      <c r="C408" t="s">
        <v>8</v>
      </c>
      <c r="D408" t="s">
        <v>283</v>
      </c>
      <c r="E408" t="s">
        <v>20</v>
      </c>
      <c r="F408">
        <v>141</v>
      </c>
      <c r="G408">
        <v>6.29E-4</v>
      </c>
      <c r="H408" t="s">
        <v>21</v>
      </c>
      <c r="J408">
        <f t="shared" si="6"/>
        <v>6.9999999999999999E-4</v>
      </c>
    </row>
    <row r="409" spans="1:10" x14ac:dyDescent="0.3">
      <c r="A409">
        <v>647</v>
      </c>
      <c r="B409">
        <v>35.285485999999999</v>
      </c>
      <c r="C409" t="s">
        <v>8</v>
      </c>
      <c r="D409" t="s">
        <v>283</v>
      </c>
      <c r="E409" t="s">
        <v>20</v>
      </c>
      <c r="F409">
        <v>963</v>
      </c>
      <c r="G409">
        <v>3.4999999999999997E-5</v>
      </c>
      <c r="H409" t="s">
        <v>21</v>
      </c>
      <c r="J409">
        <f t="shared" si="6"/>
        <v>1E-4</v>
      </c>
    </row>
    <row r="410" spans="1:10" x14ac:dyDescent="0.3">
      <c r="A410">
        <v>648</v>
      </c>
      <c r="B410">
        <v>35.285530999999999</v>
      </c>
      <c r="C410" t="s">
        <v>8</v>
      </c>
      <c r="D410" t="s">
        <v>283</v>
      </c>
      <c r="E410" t="s">
        <v>20</v>
      </c>
      <c r="F410">
        <v>92</v>
      </c>
      <c r="G410">
        <v>4.5000000000000003E-5</v>
      </c>
      <c r="H410" t="s">
        <v>21</v>
      </c>
      <c r="J410">
        <f t="shared" si="6"/>
        <v>1E-4</v>
      </c>
    </row>
    <row r="411" spans="1:10" x14ac:dyDescent="0.3">
      <c r="A411">
        <v>649</v>
      </c>
      <c r="B411">
        <v>35.285580000000003</v>
      </c>
      <c r="C411" t="s">
        <v>8</v>
      </c>
      <c r="D411" t="s">
        <v>283</v>
      </c>
      <c r="E411" t="s">
        <v>20</v>
      </c>
      <c r="F411">
        <v>1168</v>
      </c>
      <c r="G411">
        <v>4.8999999999999998E-5</v>
      </c>
      <c r="H411" t="s">
        <v>21</v>
      </c>
      <c r="J411">
        <f t="shared" si="6"/>
        <v>1E-4</v>
      </c>
    </row>
    <row r="412" spans="1:10" x14ac:dyDescent="0.3">
      <c r="A412">
        <v>650</v>
      </c>
      <c r="B412">
        <v>35.287568999999998</v>
      </c>
      <c r="C412" t="s">
        <v>297</v>
      </c>
      <c r="D412" t="s">
        <v>8</v>
      </c>
      <c r="E412" t="s">
        <v>45</v>
      </c>
      <c r="F412">
        <v>342</v>
      </c>
      <c r="G412">
        <v>1.9889999999999999E-3</v>
      </c>
      <c r="H412" t="s">
        <v>21</v>
      </c>
      <c r="J412">
        <f t="shared" si="6"/>
        <v>2E-3</v>
      </c>
    </row>
    <row r="413" spans="1:10" x14ac:dyDescent="0.3">
      <c r="A413">
        <v>651</v>
      </c>
      <c r="B413">
        <v>35.287581000000003</v>
      </c>
      <c r="C413" t="s">
        <v>8</v>
      </c>
      <c r="D413" t="s">
        <v>297</v>
      </c>
      <c r="E413" t="s">
        <v>10</v>
      </c>
      <c r="F413">
        <v>54</v>
      </c>
      <c r="G413">
        <v>1.2E-5</v>
      </c>
      <c r="H413" t="s">
        <v>307</v>
      </c>
      <c r="J413">
        <f t="shared" si="6"/>
        <v>1E-4</v>
      </c>
    </row>
    <row r="414" spans="1:10" x14ac:dyDescent="0.3">
      <c r="A414">
        <v>652</v>
      </c>
      <c r="B414">
        <v>35.287736000000002</v>
      </c>
      <c r="C414" t="s">
        <v>297</v>
      </c>
      <c r="D414" t="s">
        <v>8</v>
      </c>
      <c r="E414" t="s">
        <v>45</v>
      </c>
      <c r="F414">
        <v>553</v>
      </c>
      <c r="G414">
        <v>1.55E-4</v>
      </c>
      <c r="H414" t="s">
        <v>21</v>
      </c>
      <c r="J414">
        <f t="shared" si="6"/>
        <v>2.0000000000000001E-4</v>
      </c>
    </row>
    <row r="415" spans="1:10" x14ac:dyDescent="0.3">
      <c r="A415">
        <v>653</v>
      </c>
      <c r="B415">
        <v>35.287736000000002</v>
      </c>
      <c r="C415" t="s">
        <v>297</v>
      </c>
      <c r="D415" t="s">
        <v>8</v>
      </c>
      <c r="E415" t="s">
        <v>45</v>
      </c>
      <c r="F415">
        <v>85</v>
      </c>
      <c r="G415">
        <v>0</v>
      </c>
      <c r="H415" t="s">
        <v>21</v>
      </c>
      <c r="J415">
        <f t="shared" si="6"/>
        <v>0</v>
      </c>
    </row>
    <row r="416" spans="1:10" x14ac:dyDescent="0.3">
      <c r="A416">
        <v>654</v>
      </c>
      <c r="B416">
        <v>35.287736000000002</v>
      </c>
      <c r="C416" t="s">
        <v>297</v>
      </c>
      <c r="D416" t="s">
        <v>8</v>
      </c>
      <c r="E416" t="s">
        <v>45</v>
      </c>
      <c r="F416">
        <v>93</v>
      </c>
      <c r="G416">
        <v>0</v>
      </c>
      <c r="H416" t="s">
        <v>21</v>
      </c>
      <c r="J416">
        <f t="shared" si="6"/>
        <v>0</v>
      </c>
    </row>
    <row r="417" spans="1:10" x14ac:dyDescent="0.3">
      <c r="A417">
        <v>655</v>
      </c>
      <c r="B417">
        <v>35.287753000000002</v>
      </c>
      <c r="C417" t="s">
        <v>8</v>
      </c>
      <c r="D417" t="s">
        <v>297</v>
      </c>
      <c r="E417" t="s">
        <v>10</v>
      </c>
      <c r="F417">
        <v>54</v>
      </c>
      <c r="G417">
        <v>1.7E-5</v>
      </c>
      <c r="H417" t="s">
        <v>308</v>
      </c>
      <c r="J417">
        <f t="shared" si="6"/>
        <v>1E-4</v>
      </c>
    </row>
    <row r="418" spans="1:10" x14ac:dyDescent="0.3">
      <c r="A418">
        <v>656</v>
      </c>
      <c r="B418">
        <v>35.2881</v>
      </c>
      <c r="C418" t="s">
        <v>8</v>
      </c>
      <c r="D418" t="s">
        <v>297</v>
      </c>
      <c r="E418" t="s">
        <v>45</v>
      </c>
      <c r="F418">
        <v>93</v>
      </c>
      <c r="G418">
        <v>3.4699999999999998E-4</v>
      </c>
      <c r="H418" t="s">
        <v>21</v>
      </c>
      <c r="J418">
        <f t="shared" si="6"/>
        <v>3.9999999999999996E-4</v>
      </c>
    </row>
    <row r="419" spans="1:10" x14ac:dyDescent="0.3">
      <c r="A419">
        <v>657</v>
      </c>
      <c r="B419">
        <v>35.288207999999997</v>
      </c>
      <c r="C419" t="s">
        <v>297</v>
      </c>
      <c r="D419" t="s">
        <v>8</v>
      </c>
      <c r="E419" t="s">
        <v>45</v>
      </c>
      <c r="F419">
        <v>122</v>
      </c>
      <c r="G419">
        <v>1.08E-4</v>
      </c>
      <c r="H419" t="s">
        <v>21</v>
      </c>
      <c r="J419">
        <f t="shared" si="6"/>
        <v>2.0000000000000001E-4</v>
      </c>
    </row>
    <row r="420" spans="1:10" x14ac:dyDescent="0.3">
      <c r="A420">
        <v>658</v>
      </c>
      <c r="B420">
        <v>35.288350000000001</v>
      </c>
      <c r="C420" t="s">
        <v>297</v>
      </c>
      <c r="D420" t="s">
        <v>8</v>
      </c>
      <c r="E420" t="s">
        <v>45</v>
      </c>
      <c r="F420">
        <v>553</v>
      </c>
      <c r="G420">
        <v>1.4200000000000001E-4</v>
      </c>
      <c r="H420" t="s">
        <v>21</v>
      </c>
      <c r="J420">
        <f t="shared" si="6"/>
        <v>2.0000000000000001E-4</v>
      </c>
    </row>
    <row r="421" spans="1:10" x14ac:dyDescent="0.3">
      <c r="A421">
        <v>659</v>
      </c>
      <c r="B421">
        <v>35.288350000000001</v>
      </c>
      <c r="C421" t="s">
        <v>297</v>
      </c>
      <c r="D421" t="s">
        <v>8</v>
      </c>
      <c r="E421" t="s">
        <v>45</v>
      </c>
      <c r="F421">
        <v>85</v>
      </c>
      <c r="G421">
        <v>0</v>
      </c>
      <c r="H421" t="s">
        <v>21</v>
      </c>
      <c r="J421">
        <f t="shared" si="6"/>
        <v>0</v>
      </c>
    </row>
    <row r="422" spans="1:10" x14ac:dyDescent="0.3">
      <c r="A422">
        <v>660</v>
      </c>
      <c r="B422">
        <v>35.288364999999999</v>
      </c>
      <c r="C422" t="s">
        <v>8</v>
      </c>
      <c r="D422" t="s">
        <v>297</v>
      </c>
      <c r="E422" t="s">
        <v>10</v>
      </c>
      <c r="F422">
        <v>54</v>
      </c>
      <c r="G422">
        <v>1.5E-5</v>
      </c>
      <c r="H422" t="s">
        <v>309</v>
      </c>
      <c r="J422">
        <f t="shared" si="6"/>
        <v>1E-4</v>
      </c>
    </row>
    <row r="423" spans="1:10" x14ac:dyDescent="0.3">
      <c r="A423">
        <v>661</v>
      </c>
      <c r="B423">
        <v>35.288640999999998</v>
      </c>
      <c r="C423" t="s">
        <v>8</v>
      </c>
      <c r="D423" t="s">
        <v>19</v>
      </c>
      <c r="E423" t="s">
        <v>10</v>
      </c>
      <c r="F423">
        <v>66</v>
      </c>
      <c r="G423">
        <v>2.7599999999999999E-4</v>
      </c>
      <c r="H423" t="s">
        <v>310</v>
      </c>
      <c r="J423">
        <f t="shared" si="6"/>
        <v>3.0000000000000003E-4</v>
      </c>
    </row>
    <row r="424" spans="1:10" x14ac:dyDescent="0.3">
      <c r="A424">
        <v>662</v>
      </c>
      <c r="B424">
        <v>35.316926000000002</v>
      </c>
      <c r="C424" t="s">
        <v>297</v>
      </c>
      <c r="D424" t="s">
        <v>8</v>
      </c>
      <c r="E424" t="s">
        <v>10</v>
      </c>
      <c r="F424">
        <v>60</v>
      </c>
      <c r="G424">
        <v>2.8285000000000001E-2</v>
      </c>
      <c r="H424" t="s">
        <v>311</v>
      </c>
      <c r="J424">
        <f t="shared" si="6"/>
        <v>2.8299999999999999E-2</v>
      </c>
    </row>
    <row r="425" spans="1:10" x14ac:dyDescent="0.3">
      <c r="A425">
        <v>663</v>
      </c>
      <c r="B425">
        <v>35.318190999999999</v>
      </c>
      <c r="C425" t="s">
        <v>19</v>
      </c>
      <c r="D425" t="s">
        <v>8</v>
      </c>
      <c r="E425" t="s">
        <v>10</v>
      </c>
      <c r="F425">
        <v>66</v>
      </c>
      <c r="G425">
        <v>1.2650000000000001E-3</v>
      </c>
      <c r="H425" t="s">
        <v>312</v>
      </c>
      <c r="J425">
        <f t="shared" si="6"/>
        <v>1.2999999999999999E-3</v>
      </c>
    </row>
    <row r="426" spans="1:10" x14ac:dyDescent="0.3">
      <c r="A426">
        <v>664</v>
      </c>
      <c r="B426">
        <v>35.318238000000001</v>
      </c>
      <c r="C426" t="s">
        <v>8</v>
      </c>
      <c r="D426" t="s">
        <v>19</v>
      </c>
      <c r="E426" t="s">
        <v>10</v>
      </c>
      <c r="F426">
        <v>54</v>
      </c>
      <c r="G426">
        <v>4.6999999999999997E-5</v>
      </c>
      <c r="H426" t="s">
        <v>313</v>
      </c>
      <c r="J426">
        <f t="shared" si="6"/>
        <v>1E-4</v>
      </c>
    </row>
    <row r="427" spans="1:10" x14ac:dyDescent="0.3">
      <c r="A427">
        <v>665</v>
      </c>
      <c r="B427">
        <v>35.318455999999998</v>
      </c>
      <c r="C427" t="s">
        <v>8</v>
      </c>
      <c r="D427" t="s">
        <v>19</v>
      </c>
      <c r="E427" t="s">
        <v>45</v>
      </c>
      <c r="F427">
        <v>609</v>
      </c>
      <c r="G427">
        <v>2.1800000000000001E-4</v>
      </c>
      <c r="H427" t="s">
        <v>314</v>
      </c>
      <c r="J427">
        <f t="shared" si="6"/>
        <v>3.0000000000000003E-4</v>
      </c>
    </row>
    <row r="428" spans="1:10" x14ac:dyDescent="0.3">
      <c r="A428">
        <v>666</v>
      </c>
      <c r="B428">
        <v>35.322355000000002</v>
      </c>
      <c r="C428" t="s">
        <v>297</v>
      </c>
      <c r="D428" t="s">
        <v>8</v>
      </c>
      <c r="E428" t="s">
        <v>10</v>
      </c>
      <c r="F428">
        <v>60</v>
      </c>
      <c r="G428">
        <v>3.8990000000000001E-3</v>
      </c>
      <c r="H428" t="s">
        <v>315</v>
      </c>
      <c r="J428">
        <f t="shared" si="6"/>
        <v>3.8999999999999998E-3</v>
      </c>
    </row>
    <row r="429" spans="1:10" x14ac:dyDescent="0.3">
      <c r="A429">
        <v>667</v>
      </c>
      <c r="B429">
        <v>35.348266000000002</v>
      </c>
      <c r="C429" t="s">
        <v>19</v>
      </c>
      <c r="D429" t="s">
        <v>8</v>
      </c>
      <c r="E429" t="s">
        <v>10</v>
      </c>
      <c r="F429">
        <v>60</v>
      </c>
      <c r="G429">
        <v>2.5911E-2</v>
      </c>
      <c r="H429" t="s">
        <v>316</v>
      </c>
      <c r="J429">
        <f t="shared" si="6"/>
        <v>2.5999999999999999E-2</v>
      </c>
    </row>
    <row r="430" spans="1:10" x14ac:dyDescent="0.3">
      <c r="A430">
        <v>668</v>
      </c>
      <c r="B430">
        <v>35.349578000000001</v>
      </c>
      <c r="C430" t="s">
        <v>19</v>
      </c>
      <c r="D430" t="s">
        <v>8</v>
      </c>
      <c r="E430" t="s">
        <v>45</v>
      </c>
      <c r="F430">
        <v>266</v>
      </c>
      <c r="G430">
        <v>1.312E-3</v>
      </c>
      <c r="H430" t="s">
        <v>303</v>
      </c>
      <c r="J430">
        <f t="shared" si="6"/>
        <v>1.4E-3</v>
      </c>
    </row>
    <row r="431" spans="1:10" x14ac:dyDescent="0.3">
      <c r="A431">
        <v>669</v>
      </c>
      <c r="B431">
        <v>35.349826</v>
      </c>
      <c r="C431" t="s">
        <v>8</v>
      </c>
      <c r="D431" t="s">
        <v>19</v>
      </c>
      <c r="E431" t="s">
        <v>45</v>
      </c>
      <c r="F431">
        <v>118</v>
      </c>
      <c r="G431">
        <v>2.4800000000000001E-4</v>
      </c>
      <c r="H431" t="s">
        <v>89</v>
      </c>
      <c r="J431">
        <f t="shared" si="6"/>
        <v>3.0000000000000003E-4</v>
      </c>
    </row>
    <row r="432" spans="1:10" x14ac:dyDescent="0.3">
      <c r="A432">
        <v>670</v>
      </c>
      <c r="B432">
        <v>35.349927999999998</v>
      </c>
      <c r="C432" t="s">
        <v>8</v>
      </c>
      <c r="D432" t="s">
        <v>19</v>
      </c>
      <c r="E432" t="s">
        <v>45</v>
      </c>
      <c r="F432">
        <v>146</v>
      </c>
      <c r="G432">
        <v>1.02E-4</v>
      </c>
      <c r="H432" t="s">
        <v>21</v>
      </c>
      <c r="J432">
        <f t="shared" si="6"/>
        <v>2.0000000000000001E-4</v>
      </c>
    </row>
    <row r="433" spans="1:10" x14ac:dyDescent="0.3">
      <c r="A433">
        <v>671</v>
      </c>
      <c r="B433">
        <v>35.350020999999998</v>
      </c>
      <c r="C433" t="s">
        <v>8</v>
      </c>
      <c r="D433" t="s">
        <v>19</v>
      </c>
      <c r="E433" t="s">
        <v>45</v>
      </c>
      <c r="F433">
        <v>530</v>
      </c>
      <c r="G433">
        <v>9.2999999999999997E-5</v>
      </c>
      <c r="H433" t="s">
        <v>21</v>
      </c>
      <c r="J433">
        <f t="shared" si="6"/>
        <v>1E-4</v>
      </c>
    </row>
    <row r="434" spans="1:10" x14ac:dyDescent="0.3">
      <c r="A434">
        <v>672</v>
      </c>
      <c r="B434">
        <v>35.379382</v>
      </c>
      <c r="C434" t="s">
        <v>19</v>
      </c>
      <c r="D434" t="s">
        <v>8</v>
      </c>
      <c r="E434" t="s">
        <v>10</v>
      </c>
      <c r="F434">
        <v>60</v>
      </c>
      <c r="G434">
        <v>2.9361000000000002E-2</v>
      </c>
      <c r="H434" t="s">
        <v>317</v>
      </c>
      <c r="J434">
        <f t="shared" si="6"/>
        <v>2.9399999999999999E-2</v>
      </c>
    </row>
    <row r="435" spans="1:10" x14ac:dyDescent="0.3">
      <c r="A435">
        <v>673</v>
      </c>
      <c r="B435">
        <v>35.379519999999999</v>
      </c>
      <c r="C435" t="s">
        <v>19</v>
      </c>
      <c r="D435" t="s">
        <v>8</v>
      </c>
      <c r="E435" t="s">
        <v>45</v>
      </c>
      <c r="F435">
        <v>591</v>
      </c>
      <c r="G435">
        <v>1.3799999999999999E-4</v>
      </c>
      <c r="H435" t="s">
        <v>90</v>
      </c>
      <c r="J435">
        <f t="shared" si="6"/>
        <v>2.0000000000000001E-4</v>
      </c>
    </row>
    <row r="436" spans="1:10" x14ac:dyDescent="0.3">
      <c r="A436">
        <v>674</v>
      </c>
      <c r="B436">
        <v>35.379663000000001</v>
      </c>
      <c r="C436" t="s">
        <v>8</v>
      </c>
      <c r="D436" t="s">
        <v>19</v>
      </c>
      <c r="E436" t="s">
        <v>45</v>
      </c>
      <c r="F436">
        <v>85</v>
      </c>
      <c r="G436">
        <v>1.4300000000000001E-4</v>
      </c>
      <c r="H436" t="s">
        <v>21</v>
      </c>
      <c r="J436">
        <f t="shared" si="6"/>
        <v>2.0000000000000001E-4</v>
      </c>
    </row>
    <row r="437" spans="1:10" x14ac:dyDescent="0.3">
      <c r="A437">
        <v>675</v>
      </c>
      <c r="B437">
        <v>35.394064999999998</v>
      </c>
      <c r="C437" t="s">
        <v>19</v>
      </c>
      <c r="D437" t="s">
        <v>8</v>
      </c>
      <c r="E437" t="s">
        <v>45</v>
      </c>
      <c r="F437">
        <v>224</v>
      </c>
      <c r="G437">
        <v>1.4402E-2</v>
      </c>
      <c r="H437" t="s">
        <v>21</v>
      </c>
      <c r="J437">
        <f t="shared" si="6"/>
        <v>1.4499999999999999E-2</v>
      </c>
    </row>
    <row r="438" spans="1:10" x14ac:dyDescent="0.3">
      <c r="A438">
        <v>676</v>
      </c>
      <c r="B438">
        <v>35.394103000000001</v>
      </c>
      <c r="C438" t="s">
        <v>19</v>
      </c>
      <c r="D438" t="s">
        <v>8</v>
      </c>
      <c r="E438" t="s">
        <v>45</v>
      </c>
      <c r="F438">
        <v>99</v>
      </c>
      <c r="G438">
        <v>3.8000000000000002E-5</v>
      </c>
      <c r="H438" t="s">
        <v>21</v>
      </c>
      <c r="J438">
        <f t="shared" si="6"/>
        <v>1E-4</v>
      </c>
    </row>
    <row r="439" spans="1:10" x14ac:dyDescent="0.3">
      <c r="A439">
        <v>677</v>
      </c>
      <c r="B439">
        <v>35.394103000000001</v>
      </c>
      <c r="C439" t="s">
        <v>19</v>
      </c>
      <c r="D439" t="s">
        <v>8</v>
      </c>
      <c r="E439" t="s">
        <v>45</v>
      </c>
      <c r="F439">
        <v>85</v>
      </c>
      <c r="G439">
        <v>0</v>
      </c>
      <c r="H439" t="s">
        <v>21</v>
      </c>
      <c r="J439">
        <f t="shared" si="6"/>
        <v>0</v>
      </c>
    </row>
    <row r="440" spans="1:10" x14ac:dyDescent="0.3">
      <c r="A440">
        <v>678</v>
      </c>
      <c r="B440">
        <v>35.394112</v>
      </c>
      <c r="C440" t="s">
        <v>8</v>
      </c>
      <c r="D440" t="s">
        <v>19</v>
      </c>
      <c r="E440" t="s">
        <v>10</v>
      </c>
      <c r="F440">
        <v>54</v>
      </c>
      <c r="G440">
        <v>9.0000000000000002E-6</v>
      </c>
      <c r="H440" t="s">
        <v>318</v>
      </c>
      <c r="J440">
        <f t="shared" si="6"/>
        <v>1E-4</v>
      </c>
    </row>
    <row r="441" spans="1:10" x14ac:dyDescent="0.3">
      <c r="A441">
        <v>679</v>
      </c>
      <c r="B441">
        <v>35.449967999999998</v>
      </c>
      <c r="C441" t="s">
        <v>19</v>
      </c>
      <c r="D441" t="s">
        <v>8</v>
      </c>
      <c r="E441" t="s">
        <v>10</v>
      </c>
      <c r="F441">
        <v>60</v>
      </c>
      <c r="G441">
        <v>5.5856000000000003E-2</v>
      </c>
      <c r="H441" t="s">
        <v>319</v>
      </c>
      <c r="J441">
        <f t="shared" si="6"/>
        <v>5.5900000000000005E-2</v>
      </c>
    </row>
    <row r="442" spans="1:10" x14ac:dyDescent="0.3">
      <c r="A442">
        <v>680</v>
      </c>
      <c r="B442">
        <v>35.481571000000002</v>
      </c>
      <c r="C442" t="s">
        <v>283</v>
      </c>
      <c r="D442" t="s">
        <v>8</v>
      </c>
      <c r="E442" t="s">
        <v>20</v>
      </c>
      <c r="F442">
        <v>92</v>
      </c>
      <c r="G442">
        <v>3.1602999999999999E-2</v>
      </c>
      <c r="H442" t="s">
        <v>21</v>
      </c>
      <c r="J442">
        <f t="shared" si="6"/>
        <v>3.1700000000000006E-2</v>
      </c>
    </row>
    <row r="443" spans="1:10" x14ac:dyDescent="0.3">
      <c r="A443">
        <v>681</v>
      </c>
      <c r="B443">
        <v>35.481597999999998</v>
      </c>
      <c r="C443" t="s">
        <v>8</v>
      </c>
      <c r="D443" t="s">
        <v>283</v>
      </c>
      <c r="E443" t="s">
        <v>10</v>
      </c>
      <c r="F443">
        <v>54</v>
      </c>
      <c r="G443">
        <v>2.6999999999999999E-5</v>
      </c>
      <c r="H443" t="s">
        <v>320</v>
      </c>
      <c r="J443">
        <f t="shared" si="6"/>
        <v>1E-4</v>
      </c>
    </row>
    <row r="444" spans="1:10" x14ac:dyDescent="0.3">
      <c r="A444">
        <v>682</v>
      </c>
      <c r="B444">
        <v>35.481923999999999</v>
      </c>
      <c r="C444" t="s">
        <v>283</v>
      </c>
      <c r="D444" t="s">
        <v>8</v>
      </c>
      <c r="E444" t="s">
        <v>10</v>
      </c>
      <c r="F444">
        <v>60</v>
      </c>
      <c r="G444">
        <v>3.2600000000000001E-4</v>
      </c>
      <c r="H444" t="s">
        <v>321</v>
      </c>
      <c r="J444">
        <f t="shared" si="6"/>
        <v>3.9999999999999996E-4</v>
      </c>
    </row>
    <row r="445" spans="1:10" x14ac:dyDescent="0.3">
      <c r="A445">
        <v>683</v>
      </c>
      <c r="B445">
        <v>35.481952</v>
      </c>
      <c r="C445" t="s">
        <v>283</v>
      </c>
      <c r="D445" t="s">
        <v>8</v>
      </c>
      <c r="E445" t="s">
        <v>10</v>
      </c>
      <c r="F445">
        <v>60</v>
      </c>
      <c r="G445">
        <v>2.8E-5</v>
      </c>
      <c r="H445" t="s">
        <v>322</v>
      </c>
      <c r="J445">
        <f t="shared" si="6"/>
        <v>1E-4</v>
      </c>
    </row>
    <row r="446" spans="1:10" x14ac:dyDescent="0.3">
      <c r="A446">
        <v>684</v>
      </c>
      <c r="B446">
        <v>35.540621999999999</v>
      </c>
      <c r="C446" t="s">
        <v>285</v>
      </c>
      <c r="D446" t="s">
        <v>8</v>
      </c>
      <c r="E446" t="s">
        <v>20</v>
      </c>
      <c r="F446">
        <v>105</v>
      </c>
      <c r="G446">
        <v>5.867E-2</v>
      </c>
      <c r="H446" t="s">
        <v>241</v>
      </c>
      <c r="J446">
        <f t="shared" si="6"/>
        <v>5.8700000000000002E-2</v>
      </c>
    </row>
    <row r="447" spans="1:10" x14ac:dyDescent="0.3">
      <c r="A447">
        <v>685</v>
      </c>
      <c r="B447">
        <v>35.540790999999999</v>
      </c>
      <c r="C447" t="s">
        <v>285</v>
      </c>
      <c r="D447" t="s">
        <v>8</v>
      </c>
      <c r="E447" t="s">
        <v>20</v>
      </c>
      <c r="F447">
        <v>123</v>
      </c>
      <c r="G447">
        <v>1.6899999999999999E-4</v>
      </c>
      <c r="H447" t="s">
        <v>21</v>
      </c>
      <c r="J447">
        <f t="shared" si="6"/>
        <v>2.0000000000000001E-4</v>
      </c>
    </row>
    <row r="448" spans="1:10" x14ac:dyDescent="0.3">
      <c r="A448">
        <v>686</v>
      </c>
      <c r="B448">
        <v>35.540804000000001</v>
      </c>
      <c r="C448" t="s">
        <v>8</v>
      </c>
      <c r="D448" t="s">
        <v>285</v>
      </c>
      <c r="E448" t="s">
        <v>10</v>
      </c>
      <c r="F448">
        <v>54</v>
      </c>
      <c r="G448">
        <v>1.2999999999999999E-5</v>
      </c>
      <c r="H448" t="s">
        <v>323</v>
      </c>
      <c r="J448">
        <f t="shared" si="6"/>
        <v>1E-4</v>
      </c>
    </row>
    <row r="449" spans="1:10" x14ac:dyDescent="0.3">
      <c r="A449">
        <v>687</v>
      </c>
      <c r="B449">
        <v>35.543804000000002</v>
      </c>
      <c r="C449" t="s">
        <v>8</v>
      </c>
      <c r="D449" t="s">
        <v>285</v>
      </c>
      <c r="E449" t="s">
        <v>20</v>
      </c>
      <c r="F449">
        <v>141</v>
      </c>
      <c r="G449">
        <v>3.0000000000000001E-3</v>
      </c>
      <c r="H449" t="s">
        <v>21</v>
      </c>
      <c r="J449">
        <f t="shared" si="6"/>
        <v>3.0000000000000001E-3</v>
      </c>
    </row>
    <row r="450" spans="1:10" x14ac:dyDescent="0.3">
      <c r="A450">
        <v>688</v>
      </c>
      <c r="B450">
        <v>35.543826000000003</v>
      </c>
      <c r="C450" t="s">
        <v>8</v>
      </c>
      <c r="D450" t="s">
        <v>285</v>
      </c>
      <c r="E450" t="s">
        <v>20</v>
      </c>
      <c r="F450">
        <v>338</v>
      </c>
      <c r="G450">
        <v>2.1999999999999999E-5</v>
      </c>
      <c r="H450" t="s">
        <v>21</v>
      </c>
      <c r="J450">
        <f t="shared" si="6"/>
        <v>1E-4</v>
      </c>
    </row>
    <row r="451" spans="1:10" x14ac:dyDescent="0.3">
      <c r="A451">
        <v>689</v>
      </c>
      <c r="B451">
        <v>35.543875999999997</v>
      </c>
      <c r="C451" t="s">
        <v>8</v>
      </c>
      <c r="D451" t="s">
        <v>285</v>
      </c>
      <c r="E451" t="s">
        <v>20</v>
      </c>
      <c r="F451">
        <v>92</v>
      </c>
      <c r="G451">
        <v>5.0000000000000002E-5</v>
      </c>
      <c r="H451" t="s">
        <v>21</v>
      </c>
      <c r="J451">
        <f t="shared" si="6"/>
        <v>1E-4</v>
      </c>
    </row>
    <row r="452" spans="1:10" x14ac:dyDescent="0.3">
      <c r="A452">
        <v>690</v>
      </c>
      <c r="B452">
        <v>35.543897000000001</v>
      </c>
      <c r="C452" t="s">
        <v>8</v>
      </c>
      <c r="D452" t="s">
        <v>285</v>
      </c>
      <c r="E452" t="s">
        <v>20</v>
      </c>
      <c r="F452">
        <v>630</v>
      </c>
      <c r="G452">
        <v>2.0999999999999999E-5</v>
      </c>
      <c r="H452" t="s">
        <v>21</v>
      </c>
      <c r="J452">
        <f t="shared" ref="J452:J515" si="7">ROUNDUP(G452,4)</f>
        <v>1E-4</v>
      </c>
    </row>
    <row r="453" spans="1:10" x14ac:dyDescent="0.3">
      <c r="A453">
        <v>699</v>
      </c>
      <c r="B453">
        <v>35.677790000000002</v>
      </c>
      <c r="C453" t="s">
        <v>283</v>
      </c>
      <c r="D453" t="s">
        <v>8</v>
      </c>
      <c r="E453" t="s">
        <v>20</v>
      </c>
      <c r="F453">
        <v>339</v>
      </c>
      <c r="G453">
        <v>0.13389300000000001</v>
      </c>
      <c r="H453" t="s">
        <v>21</v>
      </c>
      <c r="J453">
        <f t="shared" si="7"/>
        <v>0.13389999999999999</v>
      </c>
    </row>
    <row r="454" spans="1:10" x14ac:dyDescent="0.3">
      <c r="A454">
        <v>700</v>
      </c>
      <c r="B454">
        <v>35.680050000000001</v>
      </c>
      <c r="C454" t="s">
        <v>8</v>
      </c>
      <c r="D454" t="s">
        <v>283</v>
      </c>
      <c r="E454" t="s">
        <v>10</v>
      </c>
      <c r="F454">
        <v>54</v>
      </c>
      <c r="G454">
        <v>2.2599999999999999E-3</v>
      </c>
      <c r="H454" t="s">
        <v>324</v>
      </c>
      <c r="J454">
        <f t="shared" si="7"/>
        <v>2.3E-3</v>
      </c>
    </row>
    <row r="455" spans="1:10" x14ac:dyDescent="0.3">
      <c r="A455">
        <v>701</v>
      </c>
      <c r="B455">
        <v>35.807172999999999</v>
      </c>
      <c r="C455" t="s">
        <v>285</v>
      </c>
      <c r="D455" t="s">
        <v>8</v>
      </c>
      <c r="E455" t="s">
        <v>20</v>
      </c>
      <c r="F455">
        <v>92</v>
      </c>
      <c r="G455">
        <v>0.12712300000000001</v>
      </c>
      <c r="H455" t="s">
        <v>21</v>
      </c>
      <c r="J455">
        <f t="shared" si="7"/>
        <v>0.12719999999999998</v>
      </c>
    </row>
    <row r="456" spans="1:10" x14ac:dyDescent="0.3">
      <c r="A456">
        <v>702</v>
      </c>
      <c r="B456">
        <v>35.807220000000001</v>
      </c>
      <c r="C456" t="s">
        <v>285</v>
      </c>
      <c r="D456" t="s">
        <v>8</v>
      </c>
      <c r="E456" t="s">
        <v>10</v>
      </c>
      <c r="F456">
        <v>60</v>
      </c>
      <c r="G456">
        <v>4.6999999999999997E-5</v>
      </c>
      <c r="H456" t="s">
        <v>325</v>
      </c>
      <c r="J456">
        <f t="shared" si="7"/>
        <v>1E-4</v>
      </c>
    </row>
    <row r="457" spans="1:10" x14ac:dyDescent="0.3">
      <c r="A457">
        <v>703</v>
      </c>
      <c r="B457">
        <v>35.847577999999999</v>
      </c>
      <c r="C457" t="s">
        <v>285</v>
      </c>
      <c r="D457" t="s">
        <v>8</v>
      </c>
      <c r="E457" t="s">
        <v>10</v>
      </c>
      <c r="F457">
        <v>60</v>
      </c>
      <c r="G457">
        <v>4.0357999999999998E-2</v>
      </c>
      <c r="H457" t="s">
        <v>326</v>
      </c>
      <c r="J457">
        <f t="shared" si="7"/>
        <v>4.0400000000000005E-2</v>
      </c>
    </row>
    <row r="458" spans="1:10" x14ac:dyDescent="0.3">
      <c r="A458">
        <v>704</v>
      </c>
      <c r="B458">
        <v>35.861623999999999</v>
      </c>
      <c r="C458" t="s">
        <v>8</v>
      </c>
      <c r="D458" t="s">
        <v>285</v>
      </c>
      <c r="E458" t="s">
        <v>10</v>
      </c>
      <c r="F458">
        <v>54</v>
      </c>
      <c r="G458">
        <v>1.4045999999999999E-2</v>
      </c>
      <c r="H458" t="s">
        <v>327</v>
      </c>
      <c r="J458">
        <f t="shared" si="7"/>
        <v>1.41E-2</v>
      </c>
    </row>
    <row r="459" spans="1:10" x14ac:dyDescent="0.3">
      <c r="A459">
        <v>706</v>
      </c>
      <c r="B459">
        <v>35.891466999999999</v>
      </c>
      <c r="C459" t="s">
        <v>283</v>
      </c>
      <c r="D459" t="s">
        <v>8</v>
      </c>
      <c r="E459" t="s">
        <v>20</v>
      </c>
      <c r="F459">
        <v>96</v>
      </c>
      <c r="G459">
        <v>2.9843000000000001E-2</v>
      </c>
      <c r="H459" t="s">
        <v>21</v>
      </c>
      <c r="J459">
        <f t="shared" si="7"/>
        <v>2.9899999999999999E-2</v>
      </c>
    </row>
    <row r="460" spans="1:10" x14ac:dyDescent="0.3">
      <c r="A460">
        <v>707</v>
      </c>
      <c r="B460">
        <v>35.891466999999999</v>
      </c>
      <c r="C460" t="s">
        <v>283</v>
      </c>
      <c r="D460" t="s">
        <v>8</v>
      </c>
      <c r="E460" t="s">
        <v>10</v>
      </c>
      <c r="F460">
        <v>60</v>
      </c>
      <c r="G460">
        <v>0</v>
      </c>
      <c r="H460" t="s">
        <v>328</v>
      </c>
      <c r="J460">
        <f t="shared" si="7"/>
        <v>0</v>
      </c>
    </row>
    <row r="461" spans="1:10" x14ac:dyDescent="0.3">
      <c r="A461">
        <v>708</v>
      </c>
      <c r="B461">
        <v>35.891517</v>
      </c>
      <c r="C461" t="s">
        <v>8</v>
      </c>
      <c r="D461" t="s">
        <v>283</v>
      </c>
      <c r="E461" t="s">
        <v>10</v>
      </c>
      <c r="F461">
        <v>54</v>
      </c>
      <c r="G461">
        <v>5.0000000000000002E-5</v>
      </c>
      <c r="H461" t="s">
        <v>329</v>
      </c>
      <c r="J461">
        <f t="shared" si="7"/>
        <v>1E-4</v>
      </c>
    </row>
    <row r="462" spans="1:10" x14ac:dyDescent="0.3">
      <c r="A462">
        <v>709</v>
      </c>
      <c r="B462">
        <v>35.891562999999998</v>
      </c>
      <c r="C462" t="s">
        <v>8</v>
      </c>
      <c r="D462" t="s">
        <v>330</v>
      </c>
      <c r="E462" t="s">
        <v>10</v>
      </c>
      <c r="F462">
        <v>54</v>
      </c>
      <c r="G462">
        <v>4.6E-5</v>
      </c>
      <c r="H462" t="s">
        <v>331</v>
      </c>
      <c r="J462">
        <f t="shared" si="7"/>
        <v>1E-4</v>
      </c>
    </row>
    <row r="463" spans="1:10" x14ac:dyDescent="0.3">
      <c r="A463">
        <v>710</v>
      </c>
      <c r="B463">
        <v>35.891598999999999</v>
      </c>
      <c r="C463" t="s">
        <v>8</v>
      </c>
      <c r="D463" t="s">
        <v>330</v>
      </c>
      <c r="E463" t="s">
        <v>10</v>
      </c>
      <c r="F463">
        <v>54</v>
      </c>
      <c r="G463">
        <v>3.6000000000000001E-5</v>
      </c>
      <c r="H463" t="s">
        <v>332</v>
      </c>
      <c r="J463">
        <f t="shared" si="7"/>
        <v>1E-4</v>
      </c>
    </row>
    <row r="464" spans="1:10" x14ac:dyDescent="0.3">
      <c r="A464">
        <v>711</v>
      </c>
      <c r="B464">
        <v>35.920602000000002</v>
      </c>
      <c r="C464" t="s">
        <v>330</v>
      </c>
      <c r="D464" t="s">
        <v>8</v>
      </c>
      <c r="E464" t="s">
        <v>10</v>
      </c>
      <c r="F464">
        <v>60</v>
      </c>
      <c r="G464">
        <v>2.9003000000000001E-2</v>
      </c>
      <c r="H464" t="s">
        <v>333</v>
      </c>
      <c r="J464">
        <f t="shared" si="7"/>
        <v>2.9100000000000001E-2</v>
      </c>
    </row>
    <row r="465" spans="1:10" x14ac:dyDescent="0.3">
      <c r="A465">
        <v>712</v>
      </c>
      <c r="B465">
        <v>35.920602000000002</v>
      </c>
      <c r="C465" t="s">
        <v>330</v>
      </c>
      <c r="D465" t="s">
        <v>8</v>
      </c>
      <c r="E465" t="s">
        <v>10</v>
      </c>
      <c r="F465">
        <v>60</v>
      </c>
      <c r="G465">
        <v>0</v>
      </c>
      <c r="H465" t="s">
        <v>334</v>
      </c>
      <c r="J465">
        <f t="shared" si="7"/>
        <v>0</v>
      </c>
    </row>
    <row r="466" spans="1:10" x14ac:dyDescent="0.3">
      <c r="A466">
        <v>713</v>
      </c>
      <c r="B466">
        <v>35.920628999999998</v>
      </c>
      <c r="C466" t="s">
        <v>8</v>
      </c>
      <c r="D466" t="s">
        <v>330</v>
      </c>
      <c r="E466" t="s">
        <v>10</v>
      </c>
      <c r="F466">
        <v>54</v>
      </c>
      <c r="G466">
        <v>2.6999999999999999E-5</v>
      </c>
      <c r="H466" t="s">
        <v>335</v>
      </c>
      <c r="J466">
        <f t="shared" si="7"/>
        <v>1E-4</v>
      </c>
    </row>
    <row r="467" spans="1:10" x14ac:dyDescent="0.3">
      <c r="A467">
        <v>714</v>
      </c>
      <c r="B467">
        <v>35.920782000000003</v>
      </c>
      <c r="C467" t="s">
        <v>330</v>
      </c>
      <c r="D467" t="s">
        <v>8</v>
      </c>
      <c r="E467" t="s">
        <v>10</v>
      </c>
      <c r="F467">
        <v>60</v>
      </c>
      <c r="G467">
        <v>1.5300000000000001E-4</v>
      </c>
      <c r="H467" t="s">
        <v>336</v>
      </c>
      <c r="J467">
        <f t="shared" si="7"/>
        <v>2.0000000000000001E-4</v>
      </c>
    </row>
    <row r="468" spans="1:10" x14ac:dyDescent="0.3">
      <c r="A468">
        <v>715</v>
      </c>
      <c r="B468">
        <v>35.920867999999999</v>
      </c>
      <c r="C468" t="s">
        <v>330</v>
      </c>
      <c r="D468" t="s">
        <v>8</v>
      </c>
      <c r="E468" t="s">
        <v>10</v>
      </c>
      <c r="F468">
        <v>60</v>
      </c>
      <c r="G468">
        <v>8.6000000000000003E-5</v>
      </c>
      <c r="H468" t="s">
        <v>337</v>
      </c>
      <c r="J468">
        <f t="shared" si="7"/>
        <v>1E-4</v>
      </c>
    </row>
    <row r="469" spans="1:10" x14ac:dyDescent="0.3">
      <c r="A469">
        <v>716</v>
      </c>
      <c r="B469">
        <v>35.920878999999999</v>
      </c>
      <c r="C469" t="s">
        <v>8</v>
      </c>
      <c r="D469" t="s">
        <v>330</v>
      </c>
      <c r="E469" t="s">
        <v>10</v>
      </c>
      <c r="F469">
        <v>54</v>
      </c>
      <c r="G469">
        <v>1.1E-5</v>
      </c>
      <c r="H469" t="s">
        <v>338</v>
      </c>
      <c r="J469">
        <f t="shared" si="7"/>
        <v>1E-4</v>
      </c>
    </row>
    <row r="470" spans="1:10" x14ac:dyDescent="0.3">
      <c r="A470">
        <v>722</v>
      </c>
      <c r="B470">
        <v>36.125120000000003</v>
      </c>
      <c r="C470" t="s">
        <v>285</v>
      </c>
      <c r="D470" t="s">
        <v>8</v>
      </c>
      <c r="E470" t="s">
        <v>20</v>
      </c>
      <c r="F470">
        <v>505</v>
      </c>
      <c r="G470">
        <v>0.20424100000000001</v>
      </c>
      <c r="H470" t="s">
        <v>21</v>
      </c>
      <c r="J470">
        <f t="shared" si="7"/>
        <v>0.20429999999999998</v>
      </c>
    </row>
    <row r="471" spans="1:10" x14ac:dyDescent="0.3">
      <c r="A471">
        <v>723</v>
      </c>
      <c r="B471">
        <v>36.167560999999999</v>
      </c>
      <c r="C471" t="s">
        <v>8</v>
      </c>
      <c r="D471" t="s">
        <v>285</v>
      </c>
      <c r="E471" t="s">
        <v>10</v>
      </c>
      <c r="F471">
        <v>54</v>
      </c>
      <c r="G471">
        <v>4.2441E-2</v>
      </c>
      <c r="H471" t="s">
        <v>339</v>
      </c>
      <c r="J471">
        <f t="shared" si="7"/>
        <v>4.2500000000000003E-2</v>
      </c>
    </row>
    <row r="472" spans="1:10" x14ac:dyDescent="0.3">
      <c r="A472">
        <v>740</v>
      </c>
      <c r="B472">
        <v>36.250964000000003</v>
      </c>
      <c r="C472" t="s">
        <v>8</v>
      </c>
      <c r="D472" t="s">
        <v>285</v>
      </c>
      <c r="E472" t="s">
        <v>20</v>
      </c>
      <c r="F472">
        <v>195</v>
      </c>
      <c r="G472">
        <v>8.3403000000000005E-2</v>
      </c>
      <c r="H472" t="s">
        <v>21</v>
      </c>
      <c r="J472">
        <f t="shared" si="7"/>
        <v>8.3500000000000005E-2</v>
      </c>
    </row>
    <row r="473" spans="1:10" x14ac:dyDescent="0.3">
      <c r="A473">
        <v>741</v>
      </c>
      <c r="B473">
        <v>36.251009000000003</v>
      </c>
      <c r="C473" t="s">
        <v>8</v>
      </c>
      <c r="D473" t="s">
        <v>285</v>
      </c>
      <c r="E473" t="s">
        <v>20</v>
      </c>
      <c r="F473">
        <v>11370</v>
      </c>
      <c r="G473">
        <v>4.5000000000000003E-5</v>
      </c>
      <c r="H473" t="s">
        <v>21</v>
      </c>
      <c r="J473">
        <f t="shared" si="7"/>
        <v>1E-4</v>
      </c>
    </row>
    <row r="474" spans="1:10" x14ac:dyDescent="0.3">
      <c r="A474">
        <v>742</v>
      </c>
      <c r="B474">
        <v>36.515098999999999</v>
      </c>
      <c r="C474" t="s">
        <v>285</v>
      </c>
      <c r="D474" t="s">
        <v>8</v>
      </c>
      <c r="E474" t="s">
        <v>10</v>
      </c>
      <c r="F474">
        <v>60</v>
      </c>
      <c r="G474">
        <v>0.26408999999999999</v>
      </c>
      <c r="H474" t="s">
        <v>340</v>
      </c>
      <c r="J474">
        <f t="shared" si="7"/>
        <v>0.2641</v>
      </c>
    </row>
    <row r="475" spans="1:10" x14ac:dyDescent="0.3">
      <c r="A475">
        <v>743</v>
      </c>
      <c r="B475">
        <v>36.515298999999999</v>
      </c>
      <c r="C475" t="s">
        <v>285</v>
      </c>
      <c r="D475" t="s">
        <v>8</v>
      </c>
      <c r="E475" t="s">
        <v>10</v>
      </c>
      <c r="F475">
        <v>60</v>
      </c>
      <c r="G475">
        <v>2.0000000000000001E-4</v>
      </c>
      <c r="H475" t="s">
        <v>341</v>
      </c>
      <c r="J475">
        <f t="shared" si="7"/>
        <v>2.0000000000000001E-4</v>
      </c>
    </row>
    <row r="476" spans="1:10" x14ac:dyDescent="0.3">
      <c r="A476">
        <v>744</v>
      </c>
      <c r="B476">
        <v>36.524149000000001</v>
      </c>
      <c r="C476" t="s">
        <v>285</v>
      </c>
      <c r="D476" t="s">
        <v>8</v>
      </c>
      <c r="E476" t="s">
        <v>10</v>
      </c>
      <c r="F476">
        <v>1514</v>
      </c>
      <c r="G476">
        <v>8.8500000000000002E-3</v>
      </c>
      <c r="H476" t="s">
        <v>342</v>
      </c>
      <c r="J476">
        <f t="shared" si="7"/>
        <v>8.8999999999999999E-3</v>
      </c>
    </row>
    <row r="477" spans="1:10" x14ac:dyDescent="0.3">
      <c r="A477">
        <v>745</v>
      </c>
      <c r="B477">
        <v>36.524351000000003</v>
      </c>
      <c r="C477" t="s">
        <v>285</v>
      </c>
      <c r="D477" t="s">
        <v>8</v>
      </c>
      <c r="E477" t="s">
        <v>10</v>
      </c>
      <c r="F477">
        <v>1514</v>
      </c>
      <c r="G477">
        <v>2.02E-4</v>
      </c>
      <c r="H477" t="s">
        <v>343</v>
      </c>
      <c r="J477">
        <f t="shared" si="7"/>
        <v>3.0000000000000003E-4</v>
      </c>
    </row>
    <row r="478" spans="1:10" x14ac:dyDescent="0.3">
      <c r="A478">
        <v>746</v>
      </c>
      <c r="B478">
        <v>36.524368000000003</v>
      </c>
      <c r="C478" t="s">
        <v>8</v>
      </c>
      <c r="D478" t="s">
        <v>285</v>
      </c>
      <c r="E478" t="s">
        <v>10</v>
      </c>
      <c r="F478">
        <v>54</v>
      </c>
      <c r="G478">
        <v>1.7E-5</v>
      </c>
      <c r="H478" t="s">
        <v>344</v>
      </c>
      <c r="J478">
        <f t="shared" si="7"/>
        <v>1E-4</v>
      </c>
    </row>
    <row r="479" spans="1:10" x14ac:dyDescent="0.3">
      <c r="A479">
        <v>747</v>
      </c>
      <c r="B479">
        <v>36.524476999999997</v>
      </c>
      <c r="C479" t="s">
        <v>285</v>
      </c>
      <c r="D479" t="s">
        <v>8</v>
      </c>
      <c r="E479" t="s">
        <v>10</v>
      </c>
      <c r="F479">
        <v>1514</v>
      </c>
      <c r="G479">
        <v>1.0900000000000001E-4</v>
      </c>
      <c r="H479" t="s">
        <v>345</v>
      </c>
      <c r="J479">
        <f t="shared" si="7"/>
        <v>2.0000000000000001E-4</v>
      </c>
    </row>
    <row r="480" spans="1:10" x14ac:dyDescent="0.3">
      <c r="A480">
        <v>748</v>
      </c>
      <c r="B480">
        <v>36.524599000000002</v>
      </c>
      <c r="C480" t="s">
        <v>285</v>
      </c>
      <c r="D480" t="s">
        <v>8</v>
      </c>
      <c r="E480" t="s">
        <v>10</v>
      </c>
      <c r="F480">
        <v>1514</v>
      </c>
      <c r="G480">
        <v>1.22E-4</v>
      </c>
      <c r="H480" t="s">
        <v>346</v>
      </c>
      <c r="J480">
        <f t="shared" si="7"/>
        <v>2.0000000000000001E-4</v>
      </c>
    </row>
    <row r="481" spans="1:10" x14ac:dyDescent="0.3">
      <c r="A481">
        <v>749</v>
      </c>
      <c r="B481">
        <v>36.524611999999998</v>
      </c>
      <c r="C481" t="s">
        <v>8</v>
      </c>
      <c r="D481" t="s">
        <v>285</v>
      </c>
      <c r="E481" t="s">
        <v>10</v>
      </c>
      <c r="F481">
        <v>54</v>
      </c>
      <c r="G481">
        <v>1.2999999999999999E-5</v>
      </c>
      <c r="H481" t="s">
        <v>347</v>
      </c>
      <c r="J481">
        <f t="shared" si="7"/>
        <v>1E-4</v>
      </c>
    </row>
    <row r="482" spans="1:10" x14ac:dyDescent="0.3">
      <c r="A482">
        <v>750</v>
      </c>
      <c r="B482">
        <v>36.524731000000003</v>
      </c>
      <c r="C482" t="s">
        <v>285</v>
      </c>
      <c r="D482" t="s">
        <v>8</v>
      </c>
      <c r="E482" t="s">
        <v>10</v>
      </c>
      <c r="F482">
        <v>1514</v>
      </c>
      <c r="G482">
        <v>1.1900000000000001E-4</v>
      </c>
      <c r="H482" t="s">
        <v>348</v>
      </c>
      <c r="J482">
        <f t="shared" si="7"/>
        <v>2.0000000000000001E-4</v>
      </c>
    </row>
    <row r="483" spans="1:10" x14ac:dyDescent="0.3">
      <c r="A483">
        <v>751</v>
      </c>
      <c r="B483">
        <v>36.524912999999998</v>
      </c>
      <c r="C483" t="s">
        <v>285</v>
      </c>
      <c r="D483" t="s">
        <v>8</v>
      </c>
      <c r="E483" t="s">
        <v>10</v>
      </c>
      <c r="F483">
        <v>1514</v>
      </c>
      <c r="G483">
        <v>1.8200000000000001E-4</v>
      </c>
      <c r="H483" t="s">
        <v>349</v>
      </c>
      <c r="J483">
        <f t="shared" si="7"/>
        <v>2.0000000000000001E-4</v>
      </c>
    </row>
    <row r="484" spans="1:10" x14ac:dyDescent="0.3">
      <c r="A484">
        <v>752</v>
      </c>
      <c r="B484">
        <v>36.524929</v>
      </c>
      <c r="C484" t="s">
        <v>8</v>
      </c>
      <c r="D484" t="s">
        <v>285</v>
      </c>
      <c r="E484" t="s">
        <v>10</v>
      </c>
      <c r="F484">
        <v>54</v>
      </c>
      <c r="G484">
        <v>1.5999999999999999E-5</v>
      </c>
      <c r="H484" t="s">
        <v>350</v>
      </c>
      <c r="J484">
        <f t="shared" si="7"/>
        <v>1E-4</v>
      </c>
    </row>
    <row r="485" spans="1:10" x14ac:dyDescent="0.3">
      <c r="A485">
        <v>753</v>
      </c>
      <c r="B485">
        <v>36.525030000000001</v>
      </c>
      <c r="C485" t="s">
        <v>285</v>
      </c>
      <c r="D485" t="s">
        <v>8</v>
      </c>
      <c r="E485" t="s">
        <v>10</v>
      </c>
      <c r="F485">
        <v>1514</v>
      </c>
      <c r="G485">
        <v>1.01E-4</v>
      </c>
      <c r="H485" t="s">
        <v>351</v>
      </c>
      <c r="J485">
        <f t="shared" si="7"/>
        <v>2.0000000000000001E-4</v>
      </c>
    </row>
    <row r="486" spans="1:10" x14ac:dyDescent="0.3">
      <c r="A486">
        <v>754</v>
      </c>
      <c r="B486">
        <v>36.525159000000002</v>
      </c>
      <c r="C486" t="s">
        <v>285</v>
      </c>
      <c r="D486" t="s">
        <v>8</v>
      </c>
      <c r="E486" t="s">
        <v>10</v>
      </c>
      <c r="F486">
        <v>1514</v>
      </c>
      <c r="G486">
        <v>1.2899999999999999E-4</v>
      </c>
      <c r="H486" t="s">
        <v>352</v>
      </c>
      <c r="J486">
        <f t="shared" si="7"/>
        <v>2.0000000000000001E-4</v>
      </c>
    </row>
    <row r="487" spans="1:10" x14ac:dyDescent="0.3">
      <c r="A487">
        <v>755</v>
      </c>
      <c r="B487">
        <v>36.525170000000003</v>
      </c>
      <c r="C487" t="s">
        <v>8</v>
      </c>
      <c r="D487" t="s">
        <v>285</v>
      </c>
      <c r="E487" t="s">
        <v>10</v>
      </c>
      <c r="F487">
        <v>54</v>
      </c>
      <c r="G487">
        <v>1.1E-5</v>
      </c>
      <c r="H487" t="s">
        <v>353</v>
      </c>
      <c r="J487">
        <f t="shared" si="7"/>
        <v>1E-4</v>
      </c>
    </row>
    <row r="488" spans="1:10" x14ac:dyDescent="0.3">
      <c r="A488">
        <v>756</v>
      </c>
      <c r="B488">
        <v>36.525281999999997</v>
      </c>
      <c r="C488" t="s">
        <v>285</v>
      </c>
      <c r="D488" t="s">
        <v>8</v>
      </c>
      <c r="E488" t="s">
        <v>10</v>
      </c>
      <c r="F488">
        <v>1514</v>
      </c>
      <c r="G488">
        <v>1.12E-4</v>
      </c>
      <c r="H488" t="s">
        <v>354</v>
      </c>
      <c r="J488">
        <f t="shared" si="7"/>
        <v>2.0000000000000001E-4</v>
      </c>
    </row>
    <row r="489" spans="1:10" x14ac:dyDescent="0.3">
      <c r="A489">
        <v>757</v>
      </c>
      <c r="B489">
        <v>36.525405999999997</v>
      </c>
      <c r="C489" t="s">
        <v>285</v>
      </c>
      <c r="D489" t="s">
        <v>8</v>
      </c>
      <c r="E489" t="s">
        <v>10</v>
      </c>
      <c r="F489">
        <v>1514</v>
      </c>
      <c r="G489">
        <v>1.2400000000000001E-4</v>
      </c>
      <c r="H489" t="s">
        <v>355</v>
      </c>
      <c r="J489">
        <f t="shared" si="7"/>
        <v>2.0000000000000001E-4</v>
      </c>
    </row>
    <row r="490" spans="1:10" x14ac:dyDescent="0.3">
      <c r="A490">
        <v>758</v>
      </c>
      <c r="B490">
        <v>36.525416999999997</v>
      </c>
      <c r="C490" t="s">
        <v>8</v>
      </c>
      <c r="D490" t="s">
        <v>285</v>
      </c>
      <c r="E490" t="s">
        <v>10</v>
      </c>
      <c r="F490">
        <v>54</v>
      </c>
      <c r="G490">
        <v>1.1E-5</v>
      </c>
      <c r="H490" t="s">
        <v>356</v>
      </c>
      <c r="J490">
        <f t="shared" si="7"/>
        <v>1E-4</v>
      </c>
    </row>
    <row r="491" spans="1:10" x14ac:dyDescent="0.3">
      <c r="A491">
        <v>759</v>
      </c>
      <c r="B491">
        <v>36.525528000000001</v>
      </c>
      <c r="C491" t="s">
        <v>285</v>
      </c>
      <c r="D491" t="s">
        <v>8</v>
      </c>
      <c r="E491" t="s">
        <v>10</v>
      </c>
      <c r="F491">
        <v>1514</v>
      </c>
      <c r="G491">
        <v>1.11E-4</v>
      </c>
      <c r="H491" t="s">
        <v>357</v>
      </c>
      <c r="J491">
        <f t="shared" si="7"/>
        <v>2.0000000000000001E-4</v>
      </c>
    </row>
    <row r="492" spans="1:10" x14ac:dyDescent="0.3">
      <c r="A492">
        <v>760</v>
      </c>
      <c r="B492">
        <v>36.525551999999998</v>
      </c>
      <c r="C492" t="s">
        <v>285</v>
      </c>
      <c r="D492" t="s">
        <v>8</v>
      </c>
      <c r="E492" t="s">
        <v>20</v>
      </c>
      <c r="F492">
        <v>490</v>
      </c>
      <c r="G492">
        <v>2.4000000000000001E-5</v>
      </c>
      <c r="H492" t="s">
        <v>90</v>
      </c>
      <c r="J492">
        <f t="shared" si="7"/>
        <v>1E-4</v>
      </c>
    </row>
    <row r="493" spans="1:10" x14ac:dyDescent="0.3">
      <c r="A493">
        <v>761</v>
      </c>
      <c r="B493">
        <v>36.525562999999998</v>
      </c>
      <c r="C493" t="s">
        <v>8</v>
      </c>
      <c r="D493" t="s">
        <v>285</v>
      </c>
      <c r="E493" t="s">
        <v>10</v>
      </c>
      <c r="F493">
        <v>54</v>
      </c>
      <c r="G493">
        <v>1.1E-5</v>
      </c>
      <c r="H493" t="s">
        <v>358</v>
      </c>
      <c r="J493">
        <f t="shared" si="7"/>
        <v>1E-4</v>
      </c>
    </row>
    <row r="494" spans="1:10" x14ac:dyDescent="0.3">
      <c r="A494">
        <v>762</v>
      </c>
      <c r="B494">
        <v>36.597673999999998</v>
      </c>
      <c r="C494" t="s">
        <v>8</v>
      </c>
      <c r="D494" t="s">
        <v>47</v>
      </c>
      <c r="E494" t="s">
        <v>10</v>
      </c>
      <c r="F494">
        <v>66</v>
      </c>
      <c r="G494">
        <v>7.2110999999999995E-2</v>
      </c>
      <c r="H494" t="s">
        <v>182</v>
      </c>
      <c r="J494">
        <f t="shared" si="7"/>
        <v>7.22E-2</v>
      </c>
    </row>
    <row r="495" spans="1:10" x14ac:dyDescent="0.3">
      <c r="A495">
        <v>770</v>
      </c>
      <c r="B495">
        <v>36.788086999999997</v>
      </c>
      <c r="C495" t="s">
        <v>285</v>
      </c>
      <c r="D495" t="s">
        <v>8</v>
      </c>
      <c r="E495" t="s">
        <v>10</v>
      </c>
      <c r="F495">
        <v>1514</v>
      </c>
      <c r="G495">
        <v>0.190413</v>
      </c>
      <c r="H495" t="s">
        <v>359</v>
      </c>
      <c r="J495">
        <f t="shared" si="7"/>
        <v>0.1905</v>
      </c>
    </row>
    <row r="496" spans="1:10" x14ac:dyDescent="0.3">
      <c r="A496">
        <v>771</v>
      </c>
      <c r="B496">
        <v>36.788207999999997</v>
      </c>
      <c r="C496" t="s">
        <v>285</v>
      </c>
      <c r="D496" t="s">
        <v>8</v>
      </c>
      <c r="E496" t="s">
        <v>10</v>
      </c>
      <c r="F496">
        <v>1514</v>
      </c>
      <c r="G496">
        <v>1.21E-4</v>
      </c>
      <c r="H496" t="s">
        <v>360</v>
      </c>
      <c r="J496">
        <f t="shared" si="7"/>
        <v>2.0000000000000001E-4</v>
      </c>
    </row>
    <row r="497" spans="1:10" x14ac:dyDescent="0.3">
      <c r="A497">
        <v>772</v>
      </c>
      <c r="B497">
        <v>36.788224</v>
      </c>
      <c r="C497" t="s">
        <v>8</v>
      </c>
      <c r="D497" t="s">
        <v>285</v>
      </c>
      <c r="E497" t="s">
        <v>10</v>
      </c>
      <c r="F497">
        <v>54</v>
      </c>
      <c r="G497">
        <v>1.5999999999999999E-5</v>
      </c>
      <c r="H497" t="s">
        <v>361</v>
      </c>
      <c r="J497">
        <f t="shared" si="7"/>
        <v>1E-4</v>
      </c>
    </row>
    <row r="498" spans="1:10" x14ac:dyDescent="0.3">
      <c r="A498">
        <v>773</v>
      </c>
      <c r="B498">
        <v>36.788330999999999</v>
      </c>
      <c r="C498" t="s">
        <v>285</v>
      </c>
      <c r="D498" t="s">
        <v>8</v>
      </c>
      <c r="E498" t="s">
        <v>10</v>
      </c>
      <c r="F498">
        <v>1514</v>
      </c>
      <c r="G498">
        <v>1.07E-4</v>
      </c>
      <c r="H498" t="s">
        <v>362</v>
      </c>
      <c r="J498">
        <f t="shared" si="7"/>
        <v>2.0000000000000001E-4</v>
      </c>
    </row>
    <row r="499" spans="1:10" x14ac:dyDescent="0.3">
      <c r="A499">
        <v>774</v>
      </c>
      <c r="B499">
        <v>36.788454000000002</v>
      </c>
      <c r="C499" t="s">
        <v>285</v>
      </c>
      <c r="D499" t="s">
        <v>8</v>
      </c>
      <c r="E499" t="s">
        <v>10</v>
      </c>
      <c r="F499">
        <v>1514</v>
      </c>
      <c r="G499">
        <v>1.2300000000000001E-4</v>
      </c>
      <c r="H499" t="s">
        <v>363</v>
      </c>
      <c r="J499">
        <f t="shared" si="7"/>
        <v>2.0000000000000001E-4</v>
      </c>
    </row>
    <row r="500" spans="1:10" x14ac:dyDescent="0.3">
      <c r="A500">
        <v>775</v>
      </c>
      <c r="B500">
        <v>36.788466999999997</v>
      </c>
      <c r="C500" t="s">
        <v>8</v>
      </c>
      <c r="D500" t="s">
        <v>285</v>
      </c>
      <c r="E500" t="s">
        <v>10</v>
      </c>
      <c r="F500">
        <v>54</v>
      </c>
      <c r="G500">
        <v>1.2999999999999999E-5</v>
      </c>
      <c r="H500" t="s">
        <v>364</v>
      </c>
      <c r="J500">
        <f t="shared" si="7"/>
        <v>1E-4</v>
      </c>
    </row>
    <row r="501" spans="1:10" x14ac:dyDescent="0.3">
      <c r="A501">
        <v>776</v>
      </c>
      <c r="B501">
        <v>36.788576999999997</v>
      </c>
      <c r="C501" t="s">
        <v>285</v>
      </c>
      <c r="D501" t="s">
        <v>8</v>
      </c>
      <c r="E501" t="s">
        <v>10</v>
      </c>
      <c r="F501">
        <v>1514</v>
      </c>
      <c r="G501">
        <v>1.1E-4</v>
      </c>
      <c r="H501" t="s">
        <v>365</v>
      </c>
      <c r="J501">
        <f t="shared" si="7"/>
        <v>2.0000000000000001E-4</v>
      </c>
    </row>
    <row r="502" spans="1:10" x14ac:dyDescent="0.3">
      <c r="A502">
        <v>777</v>
      </c>
      <c r="B502">
        <v>36.788699999999999</v>
      </c>
      <c r="C502" t="s">
        <v>285</v>
      </c>
      <c r="D502" t="s">
        <v>8</v>
      </c>
      <c r="E502" t="s">
        <v>10</v>
      </c>
      <c r="F502">
        <v>1514</v>
      </c>
      <c r="G502">
        <v>1.2300000000000001E-4</v>
      </c>
      <c r="H502" t="s">
        <v>366</v>
      </c>
      <c r="J502">
        <f t="shared" si="7"/>
        <v>2.0000000000000001E-4</v>
      </c>
    </row>
    <row r="503" spans="1:10" x14ac:dyDescent="0.3">
      <c r="A503">
        <v>778</v>
      </c>
      <c r="B503">
        <v>36.788711999999997</v>
      </c>
      <c r="C503" t="s">
        <v>8</v>
      </c>
      <c r="D503" t="s">
        <v>285</v>
      </c>
      <c r="E503" t="s">
        <v>10</v>
      </c>
      <c r="F503">
        <v>54</v>
      </c>
      <c r="G503">
        <v>1.2E-5</v>
      </c>
      <c r="H503" t="s">
        <v>367</v>
      </c>
      <c r="J503">
        <f t="shared" si="7"/>
        <v>1E-4</v>
      </c>
    </row>
    <row r="504" spans="1:10" x14ac:dyDescent="0.3">
      <c r="A504">
        <v>779</v>
      </c>
      <c r="B504">
        <v>36.788823000000001</v>
      </c>
      <c r="C504" t="s">
        <v>285</v>
      </c>
      <c r="D504" t="s">
        <v>8</v>
      </c>
      <c r="E504" t="s">
        <v>10</v>
      </c>
      <c r="F504">
        <v>1514</v>
      </c>
      <c r="G504">
        <v>1.11E-4</v>
      </c>
      <c r="H504" t="s">
        <v>368</v>
      </c>
      <c r="J504">
        <f t="shared" si="7"/>
        <v>2.0000000000000001E-4</v>
      </c>
    </row>
    <row r="505" spans="1:10" x14ac:dyDescent="0.3">
      <c r="A505">
        <v>780</v>
      </c>
      <c r="B505">
        <v>36.788946000000003</v>
      </c>
      <c r="C505" t="s">
        <v>285</v>
      </c>
      <c r="D505" t="s">
        <v>8</v>
      </c>
      <c r="E505" t="s">
        <v>10</v>
      </c>
      <c r="F505">
        <v>1514</v>
      </c>
      <c r="G505">
        <v>1.2300000000000001E-4</v>
      </c>
      <c r="H505" t="s">
        <v>369</v>
      </c>
      <c r="J505">
        <f t="shared" si="7"/>
        <v>2.0000000000000001E-4</v>
      </c>
    </row>
    <row r="506" spans="1:10" x14ac:dyDescent="0.3">
      <c r="A506">
        <v>781</v>
      </c>
      <c r="B506">
        <v>36.788958000000001</v>
      </c>
      <c r="C506" t="s">
        <v>8</v>
      </c>
      <c r="D506" t="s">
        <v>285</v>
      </c>
      <c r="E506" t="s">
        <v>10</v>
      </c>
      <c r="F506">
        <v>54</v>
      </c>
      <c r="G506">
        <v>1.2E-5</v>
      </c>
      <c r="H506" t="s">
        <v>370</v>
      </c>
      <c r="J506">
        <f t="shared" si="7"/>
        <v>1E-4</v>
      </c>
    </row>
    <row r="507" spans="1:10" x14ac:dyDescent="0.3">
      <c r="A507">
        <v>782</v>
      </c>
      <c r="B507">
        <v>36.789068999999998</v>
      </c>
      <c r="C507" t="s">
        <v>285</v>
      </c>
      <c r="D507" t="s">
        <v>8</v>
      </c>
      <c r="E507" t="s">
        <v>10</v>
      </c>
      <c r="F507">
        <v>1514</v>
      </c>
      <c r="G507">
        <v>1.11E-4</v>
      </c>
      <c r="H507" t="s">
        <v>371</v>
      </c>
      <c r="J507">
        <f t="shared" si="7"/>
        <v>2.0000000000000001E-4</v>
      </c>
    </row>
    <row r="508" spans="1:10" x14ac:dyDescent="0.3">
      <c r="A508">
        <v>783</v>
      </c>
      <c r="B508">
        <v>36.789209</v>
      </c>
      <c r="C508" t="s">
        <v>285</v>
      </c>
      <c r="D508" t="s">
        <v>8</v>
      </c>
      <c r="E508" t="s">
        <v>10</v>
      </c>
      <c r="F508">
        <v>1514</v>
      </c>
      <c r="G508">
        <v>1.3999999999999999E-4</v>
      </c>
      <c r="H508" t="s">
        <v>372</v>
      </c>
      <c r="J508">
        <f t="shared" si="7"/>
        <v>2.0000000000000001E-4</v>
      </c>
    </row>
    <row r="509" spans="1:10" x14ac:dyDescent="0.3">
      <c r="A509">
        <v>784</v>
      </c>
      <c r="B509">
        <v>36.78922</v>
      </c>
      <c r="C509" t="s">
        <v>8</v>
      </c>
      <c r="D509" t="s">
        <v>285</v>
      </c>
      <c r="E509" t="s">
        <v>10</v>
      </c>
      <c r="F509">
        <v>54</v>
      </c>
      <c r="G509">
        <v>1.1E-5</v>
      </c>
      <c r="H509" t="s">
        <v>373</v>
      </c>
      <c r="J509">
        <f t="shared" si="7"/>
        <v>1E-4</v>
      </c>
    </row>
    <row r="510" spans="1:10" x14ac:dyDescent="0.3">
      <c r="A510">
        <v>785</v>
      </c>
      <c r="B510">
        <v>36.789315000000002</v>
      </c>
      <c r="C510" t="s">
        <v>285</v>
      </c>
      <c r="D510" t="s">
        <v>8</v>
      </c>
      <c r="E510" t="s">
        <v>10</v>
      </c>
      <c r="F510">
        <v>1514</v>
      </c>
      <c r="G510">
        <v>9.5000000000000005E-5</v>
      </c>
      <c r="H510" t="s">
        <v>374</v>
      </c>
      <c r="J510">
        <f t="shared" si="7"/>
        <v>1E-4</v>
      </c>
    </row>
    <row r="511" spans="1:10" x14ac:dyDescent="0.3">
      <c r="A511">
        <v>786</v>
      </c>
      <c r="B511">
        <v>36.789437999999997</v>
      </c>
      <c r="C511" t="s">
        <v>285</v>
      </c>
      <c r="D511" t="s">
        <v>8</v>
      </c>
      <c r="E511" t="s">
        <v>20</v>
      </c>
      <c r="F511">
        <v>1514</v>
      </c>
      <c r="G511">
        <v>1.2300000000000001E-4</v>
      </c>
      <c r="H511" t="s">
        <v>90</v>
      </c>
      <c r="J511">
        <f t="shared" si="7"/>
        <v>2.0000000000000001E-4</v>
      </c>
    </row>
    <row r="512" spans="1:10" x14ac:dyDescent="0.3">
      <c r="A512">
        <v>787</v>
      </c>
      <c r="B512">
        <v>36.789454999999997</v>
      </c>
      <c r="C512" t="s">
        <v>8</v>
      </c>
      <c r="D512" t="s">
        <v>285</v>
      </c>
      <c r="E512" t="s">
        <v>10</v>
      </c>
      <c r="F512">
        <v>54</v>
      </c>
      <c r="G512">
        <v>1.7E-5</v>
      </c>
      <c r="H512" t="s">
        <v>375</v>
      </c>
      <c r="J512">
        <f t="shared" si="7"/>
        <v>1E-4</v>
      </c>
    </row>
    <row r="513" spans="1:10" x14ac:dyDescent="0.3">
      <c r="A513">
        <v>788</v>
      </c>
      <c r="B513">
        <v>36.789560999999999</v>
      </c>
      <c r="C513" t="s">
        <v>285</v>
      </c>
      <c r="D513" t="s">
        <v>8</v>
      </c>
      <c r="E513" t="s">
        <v>10</v>
      </c>
      <c r="F513">
        <v>1514</v>
      </c>
      <c r="G513">
        <v>1.06E-4</v>
      </c>
      <c r="H513" t="s">
        <v>376</v>
      </c>
      <c r="J513">
        <f t="shared" si="7"/>
        <v>2.0000000000000001E-4</v>
      </c>
    </row>
    <row r="514" spans="1:10" x14ac:dyDescent="0.3">
      <c r="A514">
        <v>789</v>
      </c>
      <c r="B514">
        <v>36.789684000000001</v>
      </c>
      <c r="C514" t="s">
        <v>285</v>
      </c>
      <c r="D514" t="s">
        <v>8</v>
      </c>
      <c r="E514" t="s">
        <v>10</v>
      </c>
      <c r="F514">
        <v>1514</v>
      </c>
      <c r="G514">
        <v>1.2300000000000001E-4</v>
      </c>
      <c r="H514" t="s">
        <v>377</v>
      </c>
      <c r="J514">
        <f t="shared" si="7"/>
        <v>2.0000000000000001E-4</v>
      </c>
    </row>
    <row r="515" spans="1:10" x14ac:dyDescent="0.3">
      <c r="A515">
        <v>790</v>
      </c>
      <c r="B515">
        <v>36.789700000000003</v>
      </c>
      <c r="C515" t="s">
        <v>8</v>
      </c>
      <c r="D515" t="s">
        <v>285</v>
      </c>
      <c r="E515" t="s">
        <v>10</v>
      </c>
      <c r="F515">
        <v>54</v>
      </c>
      <c r="G515">
        <v>1.5999999999999999E-5</v>
      </c>
      <c r="H515" t="s">
        <v>378</v>
      </c>
      <c r="J515">
        <f t="shared" si="7"/>
        <v>1E-4</v>
      </c>
    </row>
    <row r="516" spans="1:10" x14ac:dyDescent="0.3">
      <c r="A516">
        <v>791</v>
      </c>
      <c r="B516">
        <v>36.789808000000001</v>
      </c>
      <c r="C516" t="s">
        <v>285</v>
      </c>
      <c r="D516" t="s">
        <v>8</v>
      </c>
      <c r="E516" t="s">
        <v>10</v>
      </c>
      <c r="F516">
        <v>1514</v>
      </c>
      <c r="G516">
        <v>1.08E-4</v>
      </c>
      <c r="H516" t="s">
        <v>379</v>
      </c>
      <c r="J516">
        <f t="shared" ref="J516:J579" si="8">ROUNDUP(G516,4)</f>
        <v>2.0000000000000001E-4</v>
      </c>
    </row>
    <row r="517" spans="1:10" x14ac:dyDescent="0.3">
      <c r="A517">
        <v>792</v>
      </c>
      <c r="B517">
        <v>36.789926000000001</v>
      </c>
      <c r="C517" t="s">
        <v>285</v>
      </c>
      <c r="D517" t="s">
        <v>8</v>
      </c>
      <c r="E517" t="s">
        <v>10</v>
      </c>
      <c r="F517">
        <v>1514</v>
      </c>
      <c r="G517">
        <v>1.18E-4</v>
      </c>
      <c r="H517" t="s">
        <v>380</v>
      </c>
      <c r="J517">
        <f t="shared" si="8"/>
        <v>2.0000000000000001E-4</v>
      </c>
    </row>
    <row r="518" spans="1:10" x14ac:dyDescent="0.3">
      <c r="A518">
        <v>793</v>
      </c>
      <c r="B518">
        <v>36.789935</v>
      </c>
      <c r="C518" t="s">
        <v>8</v>
      </c>
      <c r="D518" t="s">
        <v>285</v>
      </c>
      <c r="E518" t="s">
        <v>10</v>
      </c>
      <c r="F518">
        <v>54</v>
      </c>
      <c r="G518">
        <v>9.0000000000000002E-6</v>
      </c>
      <c r="H518" t="s">
        <v>381</v>
      </c>
      <c r="J518">
        <f t="shared" si="8"/>
        <v>1E-4</v>
      </c>
    </row>
    <row r="519" spans="1:10" x14ac:dyDescent="0.3">
      <c r="A519">
        <v>794</v>
      </c>
      <c r="B519">
        <v>36.790049000000003</v>
      </c>
      <c r="C519" t="s">
        <v>285</v>
      </c>
      <c r="D519" t="s">
        <v>8</v>
      </c>
      <c r="E519" t="s">
        <v>10</v>
      </c>
      <c r="F519">
        <v>1514</v>
      </c>
      <c r="G519">
        <v>1.1400000000000001E-4</v>
      </c>
      <c r="H519" t="s">
        <v>382</v>
      </c>
      <c r="J519">
        <f t="shared" si="8"/>
        <v>2.0000000000000001E-4</v>
      </c>
    </row>
    <row r="520" spans="1:10" x14ac:dyDescent="0.3">
      <c r="A520">
        <v>795</v>
      </c>
      <c r="B520">
        <v>36.790171999999998</v>
      </c>
      <c r="C520" t="s">
        <v>285</v>
      </c>
      <c r="D520" t="s">
        <v>8</v>
      </c>
      <c r="E520" t="s">
        <v>10</v>
      </c>
      <c r="F520">
        <v>1514</v>
      </c>
      <c r="G520">
        <v>1.2300000000000001E-4</v>
      </c>
      <c r="H520" t="s">
        <v>383</v>
      </c>
      <c r="J520">
        <f t="shared" si="8"/>
        <v>2.0000000000000001E-4</v>
      </c>
    </row>
    <row r="521" spans="1:10" x14ac:dyDescent="0.3">
      <c r="A521">
        <v>796</v>
      </c>
      <c r="B521">
        <v>36.790179999999999</v>
      </c>
      <c r="C521" t="s">
        <v>8</v>
      </c>
      <c r="D521" t="s">
        <v>285</v>
      </c>
      <c r="E521" t="s">
        <v>10</v>
      </c>
      <c r="F521">
        <v>54</v>
      </c>
      <c r="G521">
        <v>7.9999999999999996E-6</v>
      </c>
      <c r="H521" t="s">
        <v>384</v>
      </c>
      <c r="J521">
        <f t="shared" si="8"/>
        <v>1E-4</v>
      </c>
    </row>
    <row r="522" spans="1:10" x14ac:dyDescent="0.3">
      <c r="A522">
        <v>797</v>
      </c>
      <c r="B522">
        <v>36.790295</v>
      </c>
      <c r="C522" t="s">
        <v>285</v>
      </c>
      <c r="D522" t="s">
        <v>8</v>
      </c>
      <c r="E522" t="s">
        <v>10</v>
      </c>
      <c r="F522">
        <v>1514</v>
      </c>
      <c r="G522">
        <v>1.15E-4</v>
      </c>
      <c r="H522" t="s">
        <v>385</v>
      </c>
      <c r="J522">
        <f t="shared" si="8"/>
        <v>2.0000000000000001E-4</v>
      </c>
    </row>
    <row r="523" spans="1:10" x14ac:dyDescent="0.3">
      <c r="A523">
        <v>798</v>
      </c>
      <c r="B523">
        <v>36.790418000000003</v>
      </c>
      <c r="C523" t="s">
        <v>285</v>
      </c>
      <c r="D523" t="s">
        <v>8</v>
      </c>
      <c r="E523" t="s">
        <v>10</v>
      </c>
      <c r="F523">
        <v>1514</v>
      </c>
      <c r="G523">
        <v>1.2300000000000001E-4</v>
      </c>
      <c r="H523" t="s">
        <v>386</v>
      </c>
      <c r="J523">
        <f t="shared" si="8"/>
        <v>2.0000000000000001E-4</v>
      </c>
    </row>
    <row r="524" spans="1:10" x14ac:dyDescent="0.3">
      <c r="A524">
        <v>799</v>
      </c>
      <c r="B524">
        <v>36.790429000000003</v>
      </c>
      <c r="C524" t="s">
        <v>8</v>
      </c>
      <c r="D524" t="s">
        <v>285</v>
      </c>
      <c r="E524" t="s">
        <v>10</v>
      </c>
      <c r="F524">
        <v>54</v>
      </c>
      <c r="G524">
        <v>1.1E-5</v>
      </c>
      <c r="H524" t="s">
        <v>387</v>
      </c>
      <c r="J524">
        <f t="shared" si="8"/>
        <v>1E-4</v>
      </c>
    </row>
    <row r="525" spans="1:10" x14ac:dyDescent="0.3">
      <c r="A525">
        <v>800</v>
      </c>
      <c r="B525">
        <v>36.790540999999997</v>
      </c>
      <c r="C525" t="s">
        <v>285</v>
      </c>
      <c r="D525" t="s">
        <v>8</v>
      </c>
      <c r="E525" t="s">
        <v>10</v>
      </c>
      <c r="F525">
        <v>1514</v>
      </c>
      <c r="G525">
        <v>1.12E-4</v>
      </c>
      <c r="H525" t="s">
        <v>388</v>
      </c>
      <c r="J525">
        <f t="shared" si="8"/>
        <v>2.0000000000000001E-4</v>
      </c>
    </row>
    <row r="526" spans="1:10" x14ac:dyDescent="0.3">
      <c r="A526">
        <v>801</v>
      </c>
      <c r="B526">
        <v>36.790664</v>
      </c>
      <c r="C526" t="s">
        <v>285</v>
      </c>
      <c r="D526" t="s">
        <v>8</v>
      </c>
      <c r="E526" t="s">
        <v>10</v>
      </c>
      <c r="F526">
        <v>1514</v>
      </c>
      <c r="G526">
        <v>1.2300000000000001E-4</v>
      </c>
      <c r="H526" t="s">
        <v>389</v>
      </c>
      <c r="J526">
        <f t="shared" si="8"/>
        <v>2.0000000000000001E-4</v>
      </c>
    </row>
    <row r="527" spans="1:10" x14ac:dyDescent="0.3">
      <c r="A527">
        <v>802</v>
      </c>
      <c r="B527">
        <v>36.790672999999998</v>
      </c>
      <c r="C527" t="s">
        <v>8</v>
      </c>
      <c r="D527" t="s">
        <v>285</v>
      </c>
      <c r="E527" t="s">
        <v>10</v>
      </c>
      <c r="F527">
        <v>54</v>
      </c>
      <c r="G527">
        <v>9.0000000000000002E-6</v>
      </c>
      <c r="H527" t="s">
        <v>390</v>
      </c>
      <c r="J527">
        <f t="shared" si="8"/>
        <v>1E-4</v>
      </c>
    </row>
    <row r="528" spans="1:10" x14ac:dyDescent="0.3">
      <c r="A528">
        <v>803</v>
      </c>
      <c r="B528">
        <v>36.790787000000002</v>
      </c>
      <c r="C528" t="s">
        <v>285</v>
      </c>
      <c r="D528" t="s">
        <v>8</v>
      </c>
      <c r="E528" t="s">
        <v>20</v>
      </c>
      <c r="F528">
        <v>1514</v>
      </c>
      <c r="G528">
        <v>1.1400000000000001E-4</v>
      </c>
      <c r="H528" t="s">
        <v>90</v>
      </c>
      <c r="J528">
        <f t="shared" si="8"/>
        <v>2.0000000000000001E-4</v>
      </c>
    </row>
    <row r="529" spans="1:10" x14ac:dyDescent="0.3">
      <c r="A529">
        <v>804</v>
      </c>
      <c r="B529">
        <v>36.842827999999997</v>
      </c>
      <c r="C529" t="s">
        <v>8</v>
      </c>
      <c r="D529" t="s">
        <v>285</v>
      </c>
      <c r="E529" t="s">
        <v>10</v>
      </c>
      <c r="F529">
        <v>54</v>
      </c>
      <c r="G529">
        <v>5.2040999999999997E-2</v>
      </c>
      <c r="H529" t="s">
        <v>391</v>
      </c>
      <c r="J529">
        <f t="shared" si="8"/>
        <v>5.21E-2</v>
      </c>
    </row>
    <row r="530" spans="1:10" x14ac:dyDescent="0.3">
      <c r="A530">
        <v>805</v>
      </c>
      <c r="B530">
        <v>37.05198</v>
      </c>
      <c r="C530" t="s">
        <v>285</v>
      </c>
      <c r="D530" t="s">
        <v>8</v>
      </c>
      <c r="E530" t="s">
        <v>10</v>
      </c>
      <c r="F530">
        <v>1514</v>
      </c>
      <c r="G530">
        <v>0.209152</v>
      </c>
      <c r="H530" t="s">
        <v>392</v>
      </c>
      <c r="J530">
        <f t="shared" si="8"/>
        <v>0.2092</v>
      </c>
    </row>
    <row r="531" spans="1:10" x14ac:dyDescent="0.3">
      <c r="A531">
        <v>806</v>
      </c>
      <c r="B531">
        <v>37.052092000000002</v>
      </c>
      <c r="C531" t="s">
        <v>285</v>
      </c>
      <c r="D531" t="s">
        <v>8</v>
      </c>
      <c r="E531" t="s">
        <v>10</v>
      </c>
      <c r="F531">
        <v>1514</v>
      </c>
      <c r="G531">
        <v>1.12E-4</v>
      </c>
      <c r="H531" t="s">
        <v>393</v>
      </c>
      <c r="J531">
        <f t="shared" si="8"/>
        <v>2.0000000000000001E-4</v>
      </c>
    </row>
    <row r="532" spans="1:10" x14ac:dyDescent="0.3">
      <c r="A532">
        <v>807</v>
      </c>
      <c r="B532">
        <v>37.052109000000002</v>
      </c>
      <c r="C532" t="s">
        <v>8</v>
      </c>
      <c r="D532" t="s">
        <v>285</v>
      </c>
      <c r="E532" t="s">
        <v>10</v>
      </c>
      <c r="F532">
        <v>54</v>
      </c>
      <c r="G532">
        <v>1.7E-5</v>
      </c>
      <c r="H532" t="s">
        <v>394</v>
      </c>
      <c r="J532">
        <f t="shared" si="8"/>
        <v>1E-4</v>
      </c>
    </row>
    <row r="533" spans="1:10" x14ac:dyDescent="0.3">
      <c r="A533">
        <v>808</v>
      </c>
      <c r="B533">
        <v>37.052214999999997</v>
      </c>
      <c r="C533" t="s">
        <v>285</v>
      </c>
      <c r="D533" t="s">
        <v>8</v>
      </c>
      <c r="E533" t="s">
        <v>10</v>
      </c>
      <c r="F533">
        <v>1514</v>
      </c>
      <c r="G533">
        <v>1.06E-4</v>
      </c>
      <c r="H533" t="s">
        <v>395</v>
      </c>
      <c r="J533">
        <f t="shared" si="8"/>
        <v>2.0000000000000001E-4</v>
      </c>
    </row>
    <row r="534" spans="1:10" x14ac:dyDescent="0.3">
      <c r="A534">
        <v>809</v>
      </c>
      <c r="B534">
        <v>37.052337999999999</v>
      </c>
      <c r="C534" t="s">
        <v>285</v>
      </c>
      <c r="D534" t="s">
        <v>8</v>
      </c>
      <c r="E534" t="s">
        <v>10</v>
      </c>
      <c r="F534">
        <v>1514</v>
      </c>
      <c r="G534">
        <v>1.2300000000000001E-4</v>
      </c>
      <c r="H534" t="s">
        <v>396</v>
      </c>
      <c r="J534">
        <f t="shared" si="8"/>
        <v>2.0000000000000001E-4</v>
      </c>
    </row>
    <row r="535" spans="1:10" x14ac:dyDescent="0.3">
      <c r="A535">
        <v>810</v>
      </c>
      <c r="B535">
        <v>37.052351000000002</v>
      </c>
      <c r="C535" t="s">
        <v>8</v>
      </c>
      <c r="D535" t="s">
        <v>285</v>
      </c>
      <c r="E535" t="s">
        <v>10</v>
      </c>
      <c r="F535">
        <v>54</v>
      </c>
      <c r="G535">
        <v>1.2999999999999999E-5</v>
      </c>
      <c r="H535" t="s">
        <v>397</v>
      </c>
      <c r="J535">
        <f t="shared" si="8"/>
        <v>1E-4</v>
      </c>
    </row>
    <row r="536" spans="1:10" x14ac:dyDescent="0.3">
      <c r="A536">
        <v>811</v>
      </c>
      <c r="B536">
        <v>37.052453999999997</v>
      </c>
      <c r="C536" t="s">
        <v>285</v>
      </c>
      <c r="D536" t="s">
        <v>8</v>
      </c>
      <c r="E536" t="s">
        <v>10</v>
      </c>
      <c r="F536">
        <v>1514</v>
      </c>
      <c r="G536">
        <v>1.03E-4</v>
      </c>
      <c r="H536" t="s">
        <v>398</v>
      </c>
      <c r="J536">
        <f t="shared" si="8"/>
        <v>2.0000000000000001E-4</v>
      </c>
    </row>
    <row r="537" spans="1:10" x14ac:dyDescent="0.3">
      <c r="A537">
        <v>812</v>
      </c>
      <c r="B537">
        <v>37.052585000000001</v>
      </c>
      <c r="C537" t="s">
        <v>285</v>
      </c>
      <c r="D537" t="s">
        <v>8</v>
      </c>
      <c r="E537" t="s">
        <v>10</v>
      </c>
      <c r="F537">
        <v>1514</v>
      </c>
      <c r="G537">
        <v>1.3100000000000001E-4</v>
      </c>
      <c r="H537" t="s">
        <v>399</v>
      </c>
      <c r="J537">
        <f t="shared" si="8"/>
        <v>2.0000000000000001E-4</v>
      </c>
    </row>
    <row r="538" spans="1:10" x14ac:dyDescent="0.3">
      <c r="A538">
        <v>813</v>
      </c>
      <c r="B538">
        <v>37.052596000000001</v>
      </c>
      <c r="C538" t="s">
        <v>8</v>
      </c>
      <c r="D538" t="s">
        <v>285</v>
      </c>
      <c r="E538" t="s">
        <v>10</v>
      </c>
      <c r="F538">
        <v>54</v>
      </c>
      <c r="G538">
        <v>1.1E-5</v>
      </c>
      <c r="H538" t="s">
        <v>400</v>
      </c>
      <c r="J538">
        <f t="shared" si="8"/>
        <v>1E-4</v>
      </c>
    </row>
    <row r="539" spans="1:10" x14ac:dyDescent="0.3">
      <c r="A539">
        <v>814</v>
      </c>
      <c r="B539">
        <v>37.052706999999998</v>
      </c>
      <c r="C539" t="s">
        <v>285</v>
      </c>
      <c r="D539" t="s">
        <v>8</v>
      </c>
      <c r="E539" t="s">
        <v>10</v>
      </c>
      <c r="F539">
        <v>1514</v>
      </c>
      <c r="G539">
        <v>1.11E-4</v>
      </c>
      <c r="H539" t="s">
        <v>401</v>
      </c>
      <c r="J539">
        <f t="shared" si="8"/>
        <v>2.0000000000000001E-4</v>
      </c>
    </row>
    <row r="540" spans="1:10" x14ac:dyDescent="0.3">
      <c r="A540">
        <v>815</v>
      </c>
      <c r="B540">
        <v>37.052807999999999</v>
      </c>
      <c r="C540" t="s">
        <v>285</v>
      </c>
      <c r="D540" t="s">
        <v>8</v>
      </c>
      <c r="E540" t="s">
        <v>20</v>
      </c>
      <c r="F540">
        <v>1246</v>
      </c>
      <c r="G540">
        <v>1.01E-4</v>
      </c>
      <c r="H540" t="s">
        <v>21</v>
      </c>
      <c r="J540">
        <f t="shared" si="8"/>
        <v>2.0000000000000001E-4</v>
      </c>
    </row>
    <row r="541" spans="1:10" x14ac:dyDescent="0.3">
      <c r="A541">
        <v>816</v>
      </c>
      <c r="B541">
        <v>37.052826000000003</v>
      </c>
      <c r="C541" t="s">
        <v>8</v>
      </c>
      <c r="D541" t="s">
        <v>285</v>
      </c>
      <c r="E541" t="s">
        <v>10</v>
      </c>
      <c r="F541">
        <v>54</v>
      </c>
      <c r="G541">
        <v>1.8E-5</v>
      </c>
      <c r="H541" t="s">
        <v>402</v>
      </c>
      <c r="J541">
        <f t="shared" si="8"/>
        <v>1E-4</v>
      </c>
    </row>
    <row r="542" spans="1:10" x14ac:dyDescent="0.3">
      <c r="A542">
        <v>817</v>
      </c>
      <c r="B542">
        <v>37.057468999999998</v>
      </c>
      <c r="C542" t="s">
        <v>8</v>
      </c>
      <c r="D542" t="s">
        <v>285</v>
      </c>
      <c r="E542" t="s">
        <v>20</v>
      </c>
      <c r="F542">
        <v>197</v>
      </c>
      <c r="G542">
        <v>4.6430000000000004E-3</v>
      </c>
      <c r="H542" t="s">
        <v>21</v>
      </c>
      <c r="J542">
        <f t="shared" si="8"/>
        <v>4.7000000000000002E-3</v>
      </c>
    </row>
    <row r="543" spans="1:10" x14ac:dyDescent="0.3">
      <c r="A543">
        <v>818</v>
      </c>
      <c r="B543">
        <v>37.057493000000001</v>
      </c>
      <c r="C543" t="s">
        <v>8</v>
      </c>
      <c r="D543" t="s">
        <v>285</v>
      </c>
      <c r="E543" t="s">
        <v>20</v>
      </c>
      <c r="F543">
        <v>848</v>
      </c>
      <c r="G543">
        <v>2.4000000000000001E-5</v>
      </c>
      <c r="H543" t="s">
        <v>21</v>
      </c>
      <c r="J543">
        <f t="shared" si="8"/>
        <v>1E-4</v>
      </c>
    </row>
    <row r="544" spans="1:10" x14ac:dyDescent="0.3">
      <c r="A544">
        <v>821</v>
      </c>
      <c r="B544">
        <v>37.320979000000001</v>
      </c>
      <c r="C544" t="s">
        <v>285</v>
      </c>
      <c r="D544" t="s">
        <v>8</v>
      </c>
      <c r="E544" t="s">
        <v>10</v>
      </c>
      <c r="F544">
        <v>60</v>
      </c>
      <c r="G544">
        <v>0.263486</v>
      </c>
      <c r="H544" t="s">
        <v>403</v>
      </c>
      <c r="J544">
        <f t="shared" si="8"/>
        <v>0.26350000000000001</v>
      </c>
    </row>
    <row r="545" spans="1:10" x14ac:dyDescent="0.3">
      <c r="A545">
        <v>822</v>
      </c>
      <c r="B545">
        <v>37.321603000000003</v>
      </c>
      <c r="C545" t="s">
        <v>285</v>
      </c>
      <c r="D545" t="s">
        <v>8</v>
      </c>
      <c r="E545" t="s">
        <v>20</v>
      </c>
      <c r="F545">
        <v>1135</v>
      </c>
      <c r="G545">
        <v>6.2399999999999999E-4</v>
      </c>
      <c r="H545" t="s">
        <v>21</v>
      </c>
      <c r="J545">
        <f t="shared" si="8"/>
        <v>6.9999999999999999E-4</v>
      </c>
    </row>
    <row r="546" spans="1:10" x14ac:dyDescent="0.3">
      <c r="A546">
        <v>825</v>
      </c>
      <c r="B546">
        <v>37.333306</v>
      </c>
      <c r="C546" t="s">
        <v>8</v>
      </c>
      <c r="D546" t="s">
        <v>330</v>
      </c>
      <c r="E546" t="s">
        <v>10</v>
      </c>
      <c r="F546">
        <v>66</v>
      </c>
      <c r="G546">
        <v>1.1703E-2</v>
      </c>
      <c r="H546" t="s">
        <v>404</v>
      </c>
      <c r="J546">
        <f t="shared" si="8"/>
        <v>1.18E-2</v>
      </c>
    </row>
    <row r="547" spans="1:10" x14ac:dyDescent="0.3">
      <c r="A547">
        <v>826</v>
      </c>
      <c r="B547">
        <v>37.362231999999999</v>
      </c>
      <c r="C547" t="s">
        <v>8</v>
      </c>
      <c r="D547" t="s">
        <v>285</v>
      </c>
      <c r="E547" t="s">
        <v>10</v>
      </c>
      <c r="F547">
        <v>54</v>
      </c>
      <c r="G547">
        <v>2.8926E-2</v>
      </c>
      <c r="H547" t="s">
        <v>405</v>
      </c>
      <c r="J547">
        <f t="shared" si="8"/>
        <v>2.8999999999999998E-2</v>
      </c>
    </row>
    <row r="548" spans="1:10" x14ac:dyDescent="0.3">
      <c r="A548">
        <v>827</v>
      </c>
      <c r="B548">
        <v>37.362816000000002</v>
      </c>
      <c r="C548" t="s">
        <v>330</v>
      </c>
      <c r="D548" t="s">
        <v>8</v>
      </c>
      <c r="E548" t="s">
        <v>10</v>
      </c>
      <c r="F548">
        <v>66</v>
      </c>
      <c r="G548">
        <v>5.8399999999999999E-4</v>
      </c>
      <c r="H548" t="s">
        <v>406</v>
      </c>
      <c r="J548">
        <f t="shared" si="8"/>
        <v>6.0000000000000006E-4</v>
      </c>
    </row>
    <row r="549" spans="1:10" x14ac:dyDescent="0.3">
      <c r="A549">
        <v>828</v>
      </c>
      <c r="B549">
        <v>37.362872000000003</v>
      </c>
      <c r="C549" t="s">
        <v>8</v>
      </c>
      <c r="D549" t="s">
        <v>330</v>
      </c>
      <c r="E549" t="s">
        <v>10</v>
      </c>
      <c r="F549">
        <v>54</v>
      </c>
      <c r="G549">
        <v>5.5999999999999999E-5</v>
      </c>
      <c r="H549" t="s">
        <v>407</v>
      </c>
      <c r="J549">
        <f t="shared" si="8"/>
        <v>1E-4</v>
      </c>
    </row>
    <row r="550" spans="1:10" x14ac:dyDescent="0.3">
      <c r="A550">
        <v>829</v>
      </c>
      <c r="B550">
        <v>37.363011999999998</v>
      </c>
      <c r="C550" t="s">
        <v>8</v>
      </c>
      <c r="D550" t="s">
        <v>330</v>
      </c>
      <c r="E550" t="s">
        <v>144</v>
      </c>
      <c r="F550">
        <v>303</v>
      </c>
      <c r="G550">
        <v>1.3999999999999999E-4</v>
      </c>
      <c r="H550" t="s">
        <v>408</v>
      </c>
      <c r="J550">
        <f t="shared" si="8"/>
        <v>2.0000000000000001E-4</v>
      </c>
    </row>
    <row r="551" spans="1:10" x14ac:dyDescent="0.3">
      <c r="A551">
        <v>830</v>
      </c>
      <c r="B551">
        <v>37.407150000000001</v>
      </c>
      <c r="C551" t="s">
        <v>330</v>
      </c>
      <c r="D551" t="s">
        <v>8</v>
      </c>
      <c r="E551" t="s">
        <v>10</v>
      </c>
      <c r="F551">
        <v>60</v>
      </c>
      <c r="G551">
        <v>4.4137999999999997E-2</v>
      </c>
      <c r="H551" t="s">
        <v>409</v>
      </c>
      <c r="J551">
        <f t="shared" si="8"/>
        <v>4.4200000000000003E-2</v>
      </c>
    </row>
    <row r="552" spans="1:10" x14ac:dyDescent="0.3">
      <c r="A552">
        <v>831</v>
      </c>
      <c r="B552">
        <v>37.407150000000001</v>
      </c>
      <c r="C552" t="s">
        <v>330</v>
      </c>
      <c r="D552" t="s">
        <v>8</v>
      </c>
      <c r="E552" t="s">
        <v>10</v>
      </c>
      <c r="F552">
        <v>498</v>
      </c>
      <c r="G552">
        <v>0</v>
      </c>
      <c r="H552" t="s">
        <v>410</v>
      </c>
      <c r="J552">
        <f t="shared" si="8"/>
        <v>0</v>
      </c>
    </row>
    <row r="553" spans="1:10" x14ac:dyDescent="0.3">
      <c r="A553">
        <v>832</v>
      </c>
      <c r="B553">
        <v>37.407150000000001</v>
      </c>
      <c r="C553" t="s">
        <v>330</v>
      </c>
      <c r="D553" t="s">
        <v>8</v>
      </c>
      <c r="E553" t="s">
        <v>10</v>
      </c>
      <c r="F553">
        <v>1510</v>
      </c>
      <c r="G553">
        <v>0</v>
      </c>
      <c r="H553" t="s">
        <v>411</v>
      </c>
      <c r="J553">
        <f t="shared" si="8"/>
        <v>0</v>
      </c>
    </row>
    <row r="554" spans="1:10" x14ac:dyDescent="0.3">
      <c r="A554">
        <v>833</v>
      </c>
      <c r="B554">
        <v>37.407150000000001</v>
      </c>
      <c r="C554" t="s">
        <v>330</v>
      </c>
      <c r="D554" t="s">
        <v>8</v>
      </c>
      <c r="E554" t="s">
        <v>10</v>
      </c>
      <c r="F554">
        <v>1510</v>
      </c>
      <c r="G554">
        <v>0</v>
      </c>
      <c r="H554" t="s">
        <v>412</v>
      </c>
      <c r="J554">
        <f t="shared" si="8"/>
        <v>0</v>
      </c>
    </row>
    <row r="555" spans="1:10" x14ac:dyDescent="0.3">
      <c r="A555">
        <v>834</v>
      </c>
      <c r="B555">
        <v>37.407150000000001</v>
      </c>
      <c r="C555" t="s">
        <v>330</v>
      </c>
      <c r="D555" t="s">
        <v>8</v>
      </c>
      <c r="E555" t="s">
        <v>10</v>
      </c>
      <c r="F555">
        <v>1510</v>
      </c>
      <c r="G555">
        <v>0</v>
      </c>
      <c r="H555" t="s">
        <v>413</v>
      </c>
      <c r="J555">
        <f t="shared" si="8"/>
        <v>0</v>
      </c>
    </row>
    <row r="556" spans="1:10" x14ac:dyDescent="0.3">
      <c r="A556">
        <v>835</v>
      </c>
      <c r="B556">
        <v>37.407150000000001</v>
      </c>
      <c r="C556" t="s">
        <v>330</v>
      </c>
      <c r="D556" t="s">
        <v>8</v>
      </c>
      <c r="E556" t="s">
        <v>10</v>
      </c>
      <c r="F556">
        <v>1510</v>
      </c>
      <c r="G556">
        <v>0</v>
      </c>
      <c r="H556" t="s">
        <v>414</v>
      </c>
      <c r="J556">
        <f t="shared" si="8"/>
        <v>0</v>
      </c>
    </row>
    <row r="557" spans="1:10" x14ac:dyDescent="0.3">
      <c r="A557">
        <v>836</v>
      </c>
      <c r="B557">
        <v>37.407150000000001</v>
      </c>
      <c r="C557" t="s">
        <v>330</v>
      </c>
      <c r="D557" t="s">
        <v>8</v>
      </c>
      <c r="E557" t="s">
        <v>10</v>
      </c>
      <c r="F557">
        <v>1510</v>
      </c>
      <c r="G557">
        <v>0</v>
      </c>
      <c r="H557" t="s">
        <v>415</v>
      </c>
      <c r="J557">
        <f t="shared" si="8"/>
        <v>0</v>
      </c>
    </row>
    <row r="558" spans="1:10" x14ac:dyDescent="0.3">
      <c r="A558">
        <v>837</v>
      </c>
      <c r="B558">
        <v>37.407150000000001</v>
      </c>
      <c r="C558" t="s">
        <v>330</v>
      </c>
      <c r="D558" t="s">
        <v>8</v>
      </c>
      <c r="E558" t="s">
        <v>144</v>
      </c>
      <c r="F558">
        <v>71</v>
      </c>
      <c r="G558">
        <v>0</v>
      </c>
      <c r="H558" t="s">
        <v>416</v>
      </c>
      <c r="J558">
        <f t="shared" si="8"/>
        <v>0</v>
      </c>
    </row>
    <row r="559" spans="1:10" x14ac:dyDescent="0.3">
      <c r="A559">
        <v>838</v>
      </c>
      <c r="B559">
        <v>37.407200000000003</v>
      </c>
      <c r="C559" t="s">
        <v>8</v>
      </c>
      <c r="D559" t="s">
        <v>330</v>
      </c>
      <c r="E559" t="s">
        <v>10</v>
      </c>
      <c r="F559">
        <v>54</v>
      </c>
      <c r="G559">
        <v>5.0000000000000002E-5</v>
      </c>
      <c r="H559" t="s">
        <v>417</v>
      </c>
      <c r="J559">
        <f t="shared" si="8"/>
        <v>1E-4</v>
      </c>
    </row>
    <row r="560" spans="1:10" x14ac:dyDescent="0.3">
      <c r="A560">
        <v>839</v>
      </c>
      <c r="B560">
        <v>37.407941999999998</v>
      </c>
      <c r="C560" t="s">
        <v>8</v>
      </c>
      <c r="D560" t="s">
        <v>330</v>
      </c>
      <c r="E560" t="s">
        <v>144</v>
      </c>
      <c r="F560">
        <v>303</v>
      </c>
      <c r="G560">
        <v>7.4200000000000004E-4</v>
      </c>
      <c r="H560" t="s">
        <v>418</v>
      </c>
      <c r="J560">
        <f t="shared" si="8"/>
        <v>8.0000000000000004E-4</v>
      </c>
    </row>
    <row r="561" spans="1:10" x14ac:dyDescent="0.3">
      <c r="A561">
        <v>840</v>
      </c>
      <c r="B561">
        <v>37.437569000000003</v>
      </c>
      <c r="C561" t="s">
        <v>330</v>
      </c>
      <c r="D561" t="s">
        <v>8</v>
      </c>
      <c r="E561" t="s">
        <v>10</v>
      </c>
      <c r="F561">
        <v>60</v>
      </c>
      <c r="G561">
        <v>2.9627000000000001E-2</v>
      </c>
      <c r="H561" t="s">
        <v>419</v>
      </c>
      <c r="J561">
        <f t="shared" si="8"/>
        <v>2.9700000000000001E-2</v>
      </c>
    </row>
    <row r="562" spans="1:10" x14ac:dyDescent="0.3">
      <c r="A562">
        <v>841</v>
      </c>
      <c r="B562">
        <v>37.438307999999999</v>
      </c>
      <c r="C562" t="s">
        <v>330</v>
      </c>
      <c r="D562" t="s">
        <v>8</v>
      </c>
      <c r="E562" t="s">
        <v>10</v>
      </c>
      <c r="F562">
        <v>498</v>
      </c>
      <c r="G562">
        <v>7.3899999999999997E-4</v>
      </c>
      <c r="H562" t="s">
        <v>420</v>
      </c>
      <c r="J562">
        <f t="shared" si="8"/>
        <v>8.0000000000000004E-4</v>
      </c>
    </row>
    <row r="563" spans="1:10" x14ac:dyDescent="0.3">
      <c r="A563">
        <v>842</v>
      </c>
      <c r="B563">
        <v>37.438612999999997</v>
      </c>
      <c r="C563" t="s">
        <v>330</v>
      </c>
      <c r="D563" t="s">
        <v>8</v>
      </c>
      <c r="E563" t="s">
        <v>10</v>
      </c>
      <c r="F563">
        <v>1510</v>
      </c>
      <c r="G563">
        <v>3.0499999999999999E-4</v>
      </c>
      <c r="H563" t="s">
        <v>421</v>
      </c>
      <c r="J563">
        <f t="shared" si="8"/>
        <v>3.9999999999999996E-4</v>
      </c>
    </row>
    <row r="564" spans="1:10" x14ac:dyDescent="0.3">
      <c r="A564">
        <v>843</v>
      </c>
      <c r="B564">
        <v>37.438631999999998</v>
      </c>
      <c r="C564" t="s">
        <v>8</v>
      </c>
      <c r="D564" t="s">
        <v>330</v>
      </c>
      <c r="E564" t="s">
        <v>10</v>
      </c>
      <c r="F564">
        <v>54</v>
      </c>
      <c r="G564">
        <v>1.9000000000000001E-5</v>
      </c>
      <c r="H564" t="s">
        <v>422</v>
      </c>
      <c r="J564">
        <f t="shared" si="8"/>
        <v>1E-4</v>
      </c>
    </row>
    <row r="565" spans="1:10" x14ac:dyDescent="0.3">
      <c r="A565">
        <v>844</v>
      </c>
      <c r="B565">
        <v>37.438749999999999</v>
      </c>
      <c r="C565" t="s">
        <v>330</v>
      </c>
      <c r="D565" t="s">
        <v>8</v>
      </c>
      <c r="E565" t="s">
        <v>10</v>
      </c>
      <c r="F565">
        <v>1510</v>
      </c>
      <c r="G565">
        <v>1.18E-4</v>
      </c>
      <c r="H565" t="s">
        <v>423</v>
      </c>
      <c r="J565">
        <f t="shared" si="8"/>
        <v>2.0000000000000001E-4</v>
      </c>
    </row>
    <row r="566" spans="1:10" x14ac:dyDescent="0.3">
      <c r="A566">
        <v>845</v>
      </c>
      <c r="B566">
        <v>37.439281000000001</v>
      </c>
      <c r="C566" t="s">
        <v>330</v>
      </c>
      <c r="D566" t="s">
        <v>8</v>
      </c>
      <c r="E566" t="s">
        <v>10</v>
      </c>
      <c r="F566">
        <v>1510</v>
      </c>
      <c r="G566">
        <v>5.31E-4</v>
      </c>
      <c r="H566" t="s">
        <v>424</v>
      </c>
      <c r="J566">
        <f t="shared" si="8"/>
        <v>6.0000000000000006E-4</v>
      </c>
    </row>
    <row r="567" spans="1:10" x14ac:dyDescent="0.3">
      <c r="A567">
        <v>846</v>
      </c>
      <c r="B567">
        <v>37.439292000000002</v>
      </c>
      <c r="C567" t="s">
        <v>8</v>
      </c>
      <c r="D567" t="s">
        <v>330</v>
      </c>
      <c r="E567" t="s">
        <v>10</v>
      </c>
      <c r="F567">
        <v>54</v>
      </c>
      <c r="G567">
        <v>1.1E-5</v>
      </c>
      <c r="H567" t="s">
        <v>425</v>
      </c>
      <c r="J567">
        <f t="shared" si="8"/>
        <v>1E-4</v>
      </c>
    </row>
    <row r="568" spans="1:10" x14ac:dyDescent="0.3">
      <c r="A568">
        <v>847</v>
      </c>
      <c r="B568">
        <v>37.439388999999998</v>
      </c>
      <c r="C568" t="s">
        <v>330</v>
      </c>
      <c r="D568" t="s">
        <v>8</v>
      </c>
      <c r="E568" t="s">
        <v>10</v>
      </c>
      <c r="F568">
        <v>1510</v>
      </c>
      <c r="G568">
        <v>9.7E-5</v>
      </c>
      <c r="H568" t="s">
        <v>426</v>
      </c>
      <c r="J568">
        <f t="shared" si="8"/>
        <v>1E-4</v>
      </c>
    </row>
    <row r="569" spans="1:10" x14ac:dyDescent="0.3">
      <c r="A569">
        <v>848</v>
      </c>
      <c r="B569">
        <v>37.440359999999998</v>
      </c>
      <c r="C569" t="s">
        <v>330</v>
      </c>
      <c r="D569" t="s">
        <v>8</v>
      </c>
      <c r="E569" t="s">
        <v>10</v>
      </c>
      <c r="F569">
        <v>1510</v>
      </c>
      <c r="G569">
        <v>9.7099999999999997E-4</v>
      </c>
      <c r="H569" t="s">
        <v>427</v>
      </c>
      <c r="J569">
        <f t="shared" si="8"/>
        <v>1E-3</v>
      </c>
    </row>
    <row r="570" spans="1:10" x14ac:dyDescent="0.3">
      <c r="A570">
        <v>849</v>
      </c>
      <c r="B570">
        <v>37.440359999999998</v>
      </c>
      <c r="C570" t="s">
        <v>330</v>
      </c>
      <c r="D570" t="s">
        <v>8</v>
      </c>
      <c r="E570" t="s">
        <v>144</v>
      </c>
      <c r="F570">
        <v>65</v>
      </c>
      <c r="G570">
        <v>0</v>
      </c>
      <c r="H570" t="s">
        <v>416</v>
      </c>
      <c r="J570">
        <f t="shared" si="8"/>
        <v>0</v>
      </c>
    </row>
    <row r="571" spans="1:10" x14ac:dyDescent="0.3">
      <c r="A571">
        <v>850</v>
      </c>
      <c r="B571">
        <v>37.440382999999997</v>
      </c>
      <c r="C571" t="s">
        <v>8</v>
      </c>
      <c r="D571" t="s">
        <v>330</v>
      </c>
      <c r="E571" t="s">
        <v>10</v>
      </c>
      <c r="F571">
        <v>54</v>
      </c>
      <c r="G571">
        <v>2.3E-5</v>
      </c>
      <c r="H571" t="s">
        <v>428</v>
      </c>
      <c r="J571">
        <f t="shared" si="8"/>
        <v>1E-4</v>
      </c>
    </row>
    <row r="572" spans="1:10" x14ac:dyDescent="0.3">
      <c r="A572">
        <v>851</v>
      </c>
      <c r="B572">
        <v>37.440814000000003</v>
      </c>
      <c r="C572" t="s">
        <v>8</v>
      </c>
      <c r="D572" t="s">
        <v>330</v>
      </c>
      <c r="E572" t="s">
        <v>144</v>
      </c>
      <c r="F572">
        <v>303</v>
      </c>
      <c r="G572">
        <v>4.3100000000000001E-4</v>
      </c>
      <c r="H572" t="s">
        <v>429</v>
      </c>
      <c r="J572">
        <f t="shared" si="8"/>
        <v>5.0000000000000001E-4</v>
      </c>
    </row>
    <row r="573" spans="1:10" x14ac:dyDescent="0.3">
      <c r="A573">
        <v>852</v>
      </c>
      <c r="B573">
        <v>37.470516000000003</v>
      </c>
      <c r="C573" t="s">
        <v>330</v>
      </c>
      <c r="D573" t="s">
        <v>8</v>
      </c>
      <c r="E573" t="s">
        <v>10</v>
      </c>
      <c r="F573">
        <v>60</v>
      </c>
      <c r="G573">
        <v>2.9701999999999999E-2</v>
      </c>
      <c r="H573" t="s">
        <v>430</v>
      </c>
      <c r="J573">
        <f t="shared" si="8"/>
        <v>2.98E-2</v>
      </c>
    </row>
    <row r="574" spans="1:10" x14ac:dyDescent="0.3">
      <c r="A574">
        <v>853</v>
      </c>
      <c r="B574">
        <v>37.471570999999997</v>
      </c>
      <c r="C574" t="s">
        <v>330</v>
      </c>
      <c r="D574" t="s">
        <v>8</v>
      </c>
      <c r="E574" t="s">
        <v>10</v>
      </c>
      <c r="F574">
        <v>499</v>
      </c>
      <c r="G574">
        <v>1.0549999999999999E-3</v>
      </c>
      <c r="H574" t="s">
        <v>431</v>
      </c>
      <c r="J574">
        <f t="shared" si="8"/>
        <v>1.1000000000000001E-3</v>
      </c>
    </row>
    <row r="575" spans="1:10" x14ac:dyDescent="0.3">
      <c r="A575">
        <v>854</v>
      </c>
      <c r="B575">
        <v>37.471884000000003</v>
      </c>
      <c r="C575" t="s">
        <v>330</v>
      </c>
      <c r="D575" t="s">
        <v>8</v>
      </c>
      <c r="E575" t="s">
        <v>10</v>
      </c>
      <c r="F575">
        <v>1510</v>
      </c>
      <c r="G575">
        <v>3.1300000000000002E-4</v>
      </c>
      <c r="H575" t="s">
        <v>432</v>
      </c>
      <c r="J575">
        <f t="shared" si="8"/>
        <v>3.9999999999999996E-4</v>
      </c>
    </row>
    <row r="576" spans="1:10" x14ac:dyDescent="0.3">
      <c r="A576">
        <v>855</v>
      </c>
      <c r="B576">
        <v>37.471902999999998</v>
      </c>
      <c r="C576" t="s">
        <v>8</v>
      </c>
      <c r="D576" t="s">
        <v>330</v>
      </c>
      <c r="E576" t="s">
        <v>10</v>
      </c>
      <c r="F576">
        <v>54</v>
      </c>
      <c r="G576">
        <v>1.9000000000000001E-5</v>
      </c>
      <c r="H576" t="s">
        <v>433</v>
      </c>
      <c r="J576">
        <f t="shared" si="8"/>
        <v>1E-4</v>
      </c>
    </row>
    <row r="577" spans="1:10" x14ac:dyDescent="0.3">
      <c r="A577">
        <v>856</v>
      </c>
      <c r="B577">
        <v>37.472006999999998</v>
      </c>
      <c r="C577" t="s">
        <v>330</v>
      </c>
      <c r="D577" t="s">
        <v>8</v>
      </c>
      <c r="E577" t="s">
        <v>10</v>
      </c>
      <c r="F577">
        <v>1510</v>
      </c>
      <c r="G577">
        <v>1.0399999999999999E-4</v>
      </c>
      <c r="H577" t="s">
        <v>434</v>
      </c>
      <c r="J577">
        <f t="shared" si="8"/>
        <v>2.0000000000000001E-4</v>
      </c>
    </row>
    <row r="578" spans="1:10" x14ac:dyDescent="0.3">
      <c r="A578">
        <v>857</v>
      </c>
      <c r="B578">
        <v>37.472607000000004</v>
      </c>
      <c r="C578" t="s">
        <v>330</v>
      </c>
      <c r="D578" t="s">
        <v>8</v>
      </c>
      <c r="E578" t="s">
        <v>10</v>
      </c>
      <c r="F578">
        <v>1510</v>
      </c>
      <c r="G578">
        <v>5.9999999999999995E-4</v>
      </c>
      <c r="H578" t="s">
        <v>435</v>
      </c>
      <c r="J578">
        <f t="shared" si="8"/>
        <v>5.9999999999999995E-4</v>
      </c>
    </row>
    <row r="579" spans="1:10" x14ac:dyDescent="0.3">
      <c r="A579">
        <v>858</v>
      </c>
      <c r="B579">
        <v>37.472620999999997</v>
      </c>
      <c r="C579" t="s">
        <v>8</v>
      </c>
      <c r="D579" t="s">
        <v>330</v>
      </c>
      <c r="E579" t="s">
        <v>10</v>
      </c>
      <c r="F579">
        <v>54</v>
      </c>
      <c r="G579">
        <v>1.4E-5</v>
      </c>
      <c r="H579" t="s">
        <v>436</v>
      </c>
      <c r="J579">
        <f t="shared" si="8"/>
        <v>1E-4</v>
      </c>
    </row>
    <row r="580" spans="1:10" x14ac:dyDescent="0.3">
      <c r="A580">
        <v>859</v>
      </c>
      <c r="B580">
        <v>37.472732000000001</v>
      </c>
      <c r="C580" t="s">
        <v>330</v>
      </c>
      <c r="D580" t="s">
        <v>8</v>
      </c>
      <c r="E580" t="s">
        <v>10</v>
      </c>
      <c r="F580">
        <v>1510</v>
      </c>
      <c r="G580">
        <v>1.11E-4</v>
      </c>
      <c r="H580" t="s">
        <v>437</v>
      </c>
      <c r="J580">
        <f t="shared" ref="J580:J643" si="9">ROUNDUP(G580,4)</f>
        <v>2.0000000000000001E-4</v>
      </c>
    </row>
    <row r="581" spans="1:10" x14ac:dyDescent="0.3">
      <c r="A581">
        <v>860</v>
      </c>
      <c r="B581">
        <v>37.473641999999998</v>
      </c>
      <c r="C581" t="s">
        <v>330</v>
      </c>
      <c r="D581" t="s">
        <v>8</v>
      </c>
      <c r="E581" t="s">
        <v>10</v>
      </c>
      <c r="F581">
        <v>1510</v>
      </c>
      <c r="G581">
        <v>9.1E-4</v>
      </c>
      <c r="H581" t="s">
        <v>438</v>
      </c>
      <c r="J581">
        <f t="shared" si="9"/>
        <v>1E-3</v>
      </c>
    </row>
    <row r="582" spans="1:10" x14ac:dyDescent="0.3">
      <c r="A582">
        <v>861</v>
      </c>
      <c r="B582">
        <v>37.473654000000003</v>
      </c>
      <c r="C582" t="s">
        <v>8</v>
      </c>
      <c r="D582" t="s">
        <v>330</v>
      </c>
      <c r="E582" t="s">
        <v>10</v>
      </c>
      <c r="F582">
        <v>54</v>
      </c>
      <c r="G582">
        <v>1.2E-5</v>
      </c>
      <c r="H582" t="s">
        <v>439</v>
      </c>
      <c r="J582">
        <f t="shared" si="9"/>
        <v>1E-4</v>
      </c>
    </row>
    <row r="583" spans="1:10" x14ac:dyDescent="0.3">
      <c r="A583">
        <v>862</v>
      </c>
      <c r="B583">
        <v>37.473756000000002</v>
      </c>
      <c r="C583" t="s">
        <v>330</v>
      </c>
      <c r="D583" t="s">
        <v>8</v>
      </c>
      <c r="E583" t="s">
        <v>10</v>
      </c>
      <c r="F583">
        <v>1510</v>
      </c>
      <c r="G583">
        <v>1.02E-4</v>
      </c>
      <c r="H583" t="s">
        <v>440</v>
      </c>
      <c r="J583">
        <f t="shared" si="9"/>
        <v>2.0000000000000001E-4</v>
      </c>
    </row>
    <row r="584" spans="1:10" x14ac:dyDescent="0.3">
      <c r="A584">
        <v>863</v>
      </c>
      <c r="B584">
        <v>37.474815999999997</v>
      </c>
      <c r="C584" t="s">
        <v>330</v>
      </c>
      <c r="D584" t="s">
        <v>8</v>
      </c>
      <c r="E584" t="s">
        <v>10</v>
      </c>
      <c r="F584">
        <v>1510</v>
      </c>
      <c r="G584">
        <v>1.06E-3</v>
      </c>
      <c r="H584" t="s">
        <v>441</v>
      </c>
      <c r="J584">
        <f t="shared" si="9"/>
        <v>1.1000000000000001E-3</v>
      </c>
    </row>
    <row r="585" spans="1:10" x14ac:dyDescent="0.3">
      <c r="A585">
        <v>864</v>
      </c>
      <c r="B585">
        <v>37.474815999999997</v>
      </c>
      <c r="C585" t="s">
        <v>330</v>
      </c>
      <c r="D585" t="s">
        <v>8</v>
      </c>
      <c r="E585" t="s">
        <v>144</v>
      </c>
      <c r="F585">
        <v>285</v>
      </c>
      <c r="G585">
        <v>0</v>
      </c>
      <c r="H585" t="s">
        <v>416</v>
      </c>
      <c r="J585">
        <f t="shared" si="9"/>
        <v>0</v>
      </c>
    </row>
    <row r="586" spans="1:10" x14ac:dyDescent="0.3">
      <c r="A586">
        <v>865</v>
      </c>
      <c r="B586">
        <v>37.474834999999999</v>
      </c>
      <c r="C586" t="s">
        <v>8</v>
      </c>
      <c r="D586" t="s">
        <v>330</v>
      </c>
      <c r="E586" t="s">
        <v>10</v>
      </c>
      <c r="F586">
        <v>54</v>
      </c>
      <c r="G586">
        <v>1.9000000000000001E-5</v>
      </c>
      <c r="H586" t="s">
        <v>442</v>
      </c>
      <c r="J586">
        <f t="shared" si="9"/>
        <v>1E-4</v>
      </c>
    </row>
    <row r="587" spans="1:10" x14ac:dyDescent="0.3">
      <c r="A587">
        <v>866</v>
      </c>
      <c r="B587">
        <v>37.557746000000002</v>
      </c>
      <c r="C587" t="s">
        <v>8</v>
      </c>
      <c r="D587" t="s">
        <v>285</v>
      </c>
      <c r="E587" t="s">
        <v>20</v>
      </c>
      <c r="F587">
        <v>132</v>
      </c>
      <c r="G587">
        <v>8.2910999999999999E-2</v>
      </c>
      <c r="H587" t="s">
        <v>21</v>
      </c>
      <c r="J587">
        <f t="shared" si="9"/>
        <v>8.3000000000000004E-2</v>
      </c>
    </row>
    <row r="588" spans="1:10" x14ac:dyDescent="0.3">
      <c r="A588">
        <v>867</v>
      </c>
      <c r="B588">
        <v>37.557777000000002</v>
      </c>
      <c r="C588" t="s">
        <v>8</v>
      </c>
      <c r="D588" t="s">
        <v>285</v>
      </c>
      <c r="E588" t="s">
        <v>20</v>
      </c>
      <c r="F588">
        <v>11276</v>
      </c>
      <c r="G588">
        <v>3.1000000000000001E-5</v>
      </c>
      <c r="H588" t="s">
        <v>21</v>
      </c>
      <c r="J588">
        <f t="shared" si="9"/>
        <v>1E-4</v>
      </c>
    </row>
    <row r="589" spans="1:10" x14ac:dyDescent="0.3">
      <c r="A589">
        <v>868</v>
      </c>
      <c r="B589">
        <v>37.822119000000001</v>
      </c>
      <c r="C589" t="s">
        <v>285</v>
      </c>
      <c r="D589" t="s">
        <v>8</v>
      </c>
      <c r="E589" t="s">
        <v>10</v>
      </c>
      <c r="F589">
        <v>60</v>
      </c>
      <c r="G589">
        <v>0.26434200000000002</v>
      </c>
      <c r="H589" t="s">
        <v>443</v>
      </c>
      <c r="J589">
        <f t="shared" si="9"/>
        <v>0.26439999999999997</v>
      </c>
    </row>
    <row r="590" spans="1:10" x14ac:dyDescent="0.3">
      <c r="A590">
        <v>869</v>
      </c>
      <c r="B590">
        <v>37.826942000000003</v>
      </c>
      <c r="C590" t="s">
        <v>285</v>
      </c>
      <c r="D590" t="s">
        <v>8</v>
      </c>
      <c r="E590" t="s">
        <v>10</v>
      </c>
      <c r="F590">
        <v>1514</v>
      </c>
      <c r="G590">
        <v>4.823E-3</v>
      </c>
      <c r="H590" t="s">
        <v>444</v>
      </c>
      <c r="J590">
        <f t="shared" si="9"/>
        <v>4.8999999999999998E-3</v>
      </c>
    </row>
    <row r="591" spans="1:10" x14ac:dyDescent="0.3">
      <c r="A591">
        <v>870</v>
      </c>
      <c r="B591">
        <v>37.827060000000003</v>
      </c>
      <c r="C591" t="s">
        <v>285</v>
      </c>
      <c r="D591" t="s">
        <v>8</v>
      </c>
      <c r="E591" t="s">
        <v>10</v>
      </c>
      <c r="F591">
        <v>1514</v>
      </c>
      <c r="G591">
        <v>1.18E-4</v>
      </c>
      <c r="H591" t="s">
        <v>445</v>
      </c>
      <c r="J591">
        <f t="shared" si="9"/>
        <v>2.0000000000000001E-4</v>
      </c>
    </row>
    <row r="592" spans="1:10" x14ac:dyDescent="0.3">
      <c r="A592">
        <v>871</v>
      </c>
      <c r="B592">
        <v>37.827060000000003</v>
      </c>
      <c r="C592" t="s">
        <v>285</v>
      </c>
      <c r="D592" t="s">
        <v>8</v>
      </c>
      <c r="E592" t="s">
        <v>20</v>
      </c>
      <c r="F592">
        <v>114</v>
      </c>
      <c r="G592">
        <v>0</v>
      </c>
      <c r="H592" t="s">
        <v>21</v>
      </c>
      <c r="J592">
        <f t="shared" si="9"/>
        <v>0</v>
      </c>
    </row>
    <row r="593" spans="1:10" x14ac:dyDescent="0.3">
      <c r="A593">
        <v>872</v>
      </c>
      <c r="B593">
        <v>37.827078</v>
      </c>
      <c r="C593" t="s">
        <v>8</v>
      </c>
      <c r="D593" t="s">
        <v>285</v>
      </c>
      <c r="E593" t="s">
        <v>10</v>
      </c>
      <c r="F593">
        <v>54</v>
      </c>
      <c r="G593">
        <v>1.8E-5</v>
      </c>
      <c r="H593" t="s">
        <v>446</v>
      </c>
      <c r="J593">
        <f t="shared" si="9"/>
        <v>1E-4</v>
      </c>
    </row>
    <row r="594" spans="1:10" x14ac:dyDescent="0.3">
      <c r="A594">
        <v>873</v>
      </c>
      <c r="B594">
        <v>37.848891999999999</v>
      </c>
      <c r="C594" t="s">
        <v>8</v>
      </c>
      <c r="D594" t="s">
        <v>285</v>
      </c>
      <c r="E594" t="s">
        <v>20</v>
      </c>
      <c r="F594">
        <v>132</v>
      </c>
      <c r="G594">
        <v>2.1814E-2</v>
      </c>
      <c r="H594" t="s">
        <v>21</v>
      </c>
      <c r="J594">
        <f t="shared" si="9"/>
        <v>2.1899999999999999E-2</v>
      </c>
    </row>
    <row r="595" spans="1:10" x14ac:dyDescent="0.3">
      <c r="A595">
        <v>874</v>
      </c>
      <c r="B595">
        <v>37.848942999999998</v>
      </c>
      <c r="C595" t="s">
        <v>8</v>
      </c>
      <c r="D595" t="s">
        <v>285</v>
      </c>
      <c r="E595" t="s">
        <v>20</v>
      </c>
      <c r="F595">
        <v>11314</v>
      </c>
      <c r="G595">
        <v>5.1E-5</v>
      </c>
      <c r="H595" t="s">
        <v>21</v>
      </c>
      <c r="J595">
        <f t="shared" si="9"/>
        <v>1E-4</v>
      </c>
    </row>
    <row r="596" spans="1:10" x14ac:dyDescent="0.3">
      <c r="A596">
        <v>876</v>
      </c>
      <c r="B596">
        <v>38.113435000000003</v>
      </c>
      <c r="C596" t="s">
        <v>285</v>
      </c>
      <c r="D596" t="s">
        <v>8</v>
      </c>
      <c r="E596" t="s">
        <v>10</v>
      </c>
      <c r="F596">
        <v>60</v>
      </c>
      <c r="G596">
        <v>0.264492</v>
      </c>
      <c r="H596" t="s">
        <v>447</v>
      </c>
      <c r="J596">
        <f t="shared" si="9"/>
        <v>0.26450000000000001</v>
      </c>
    </row>
    <row r="597" spans="1:10" x14ac:dyDescent="0.3">
      <c r="A597">
        <v>877</v>
      </c>
      <c r="B597">
        <v>38.119694000000003</v>
      </c>
      <c r="C597" t="s">
        <v>285</v>
      </c>
      <c r="D597" t="s">
        <v>8</v>
      </c>
      <c r="E597" t="s">
        <v>10</v>
      </c>
      <c r="F597">
        <v>1514</v>
      </c>
      <c r="G597">
        <v>6.2589999999999998E-3</v>
      </c>
      <c r="H597" t="s">
        <v>448</v>
      </c>
      <c r="J597">
        <f t="shared" si="9"/>
        <v>6.3E-3</v>
      </c>
    </row>
    <row r="598" spans="1:10" x14ac:dyDescent="0.3">
      <c r="A598">
        <v>878</v>
      </c>
      <c r="B598">
        <v>38.119731000000002</v>
      </c>
      <c r="C598" t="s">
        <v>285</v>
      </c>
      <c r="D598" t="s">
        <v>8</v>
      </c>
      <c r="E598" t="s">
        <v>20</v>
      </c>
      <c r="F598">
        <v>549</v>
      </c>
      <c r="G598">
        <v>3.6999999999999998E-5</v>
      </c>
      <c r="H598" t="s">
        <v>21</v>
      </c>
      <c r="J598">
        <f t="shared" si="9"/>
        <v>1E-4</v>
      </c>
    </row>
    <row r="599" spans="1:10" x14ac:dyDescent="0.3">
      <c r="A599">
        <v>879</v>
      </c>
      <c r="B599">
        <v>38.119743</v>
      </c>
      <c r="C599" t="s">
        <v>8</v>
      </c>
      <c r="D599" t="s">
        <v>285</v>
      </c>
      <c r="E599" t="s">
        <v>10</v>
      </c>
      <c r="F599">
        <v>54</v>
      </c>
      <c r="G599">
        <v>1.2E-5</v>
      </c>
      <c r="H599" t="s">
        <v>449</v>
      </c>
      <c r="J599">
        <f t="shared" si="9"/>
        <v>1E-4</v>
      </c>
    </row>
    <row r="600" spans="1:10" x14ac:dyDescent="0.3">
      <c r="A600">
        <v>882</v>
      </c>
      <c r="B600">
        <v>38.141328000000001</v>
      </c>
      <c r="C600" t="s">
        <v>8</v>
      </c>
      <c r="D600" t="s">
        <v>285</v>
      </c>
      <c r="E600" t="s">
        <v>20</v>
      </c>
      <c r="F600">
        <v>132</v>
      </c>
      <c r="G600">
        <v>2.1585E-2</v>
      </c>
      <c r="H600" t="s">
        <v>21</v>
      </c>
      <c r="J600">
        <f t="shared" si="9"/>
        <v>2.1599999999999998E-2</v>
      </c>
    </row>
    <row r="601" spans="1:10" x14ac:dyDescent="0.3">
      <c r="A601">
        <v>883</v>
      </c>
      <c r="B601">
        <v>38.141370999999999</v>
      </c>
      <c r="C601" t="s">
        <v>8</v>
      </c>
      <c r="D601" t="s">
        <v>285</v>
      </c>
      <c r="E601" t="s">
        <v>20</v>
      </c>
      <c r="F601">
        <v>11333</v>
      </c>
      <c r="G601">
        <v>4.3000000000000002E-5</v>
      </c>
      <c r="H601" t="s">
        <v>21</v>
      </c>
      <c r="J601">
        <f t="shared" si="9"/>
        <v>1E-4</v>
      </c>
    </row>
    <row r="602" spans="1:10" x14ac:dyDescent="0.3">
      <c r="A602">
        <v>884</v>
      </c>
      <c r="B602">
        <v>38.405802999999999</v>
      </c>
      <c r="C602" t="s">
        <v>285</v>
      </c>
      <c r="D602" t="s">
        <v>8</v>
      </c>
      <c r="E602" t="s">
        <v>10</v>
      </c>
      <c r="F602">
        <v>60</v>
      </c>
      <c r="G602">
        <v>0.264432</v>
      </c>
      <c r="H602" t="s">
        <v>450</v>
      </c>
      <c r="J602">
        <f t="shared" si="9"/>
        <v>0.26450000000000001</v>
      </c>
    </row>
    <row r="603" spans="1:10" x14ac:dyDescent="0.3">
      <c r="A603">
        <v>885</v>
      </c>
      <c r="B603">
        <v>38.410964999999997</v>
      </c>
      <c r="C603" t="s">
        <v>285</v>
      </c>
      <c r="D603" t="s">
        <v>8</v>
      </c>
      <c r="E603" t="s">
        <v>20</v>
      </c>
      <c r="F603">
        <v>814</v>
      </c>
      <c r="G603">
        <v>5.1619999999999999E-3</v>
      </c>
      <c r="H603" t="s">
        <v>21</v>
      </c>
      <c r="J603">
        <f t="shared" si="9"/>
        <v>5.2000000000000006E-3</v>
      </c>
    </row>
    <row r="604" spans="1:10" x14ac:dyDescent="0.3">
      <c r="A604">
        <v>886</v>
      </c>
      <c r="B604">
        <v>38.421323000000001</v>
      </c>
      <c r="C604" t="s">
        <v>8</v>
      </c>
      <c r="D604" t="s">
        <v>330</v>
      </c>
      <c r="E604" t="s">
        <v>10</v>
      </c>
      <c r="F604">
        <v>54</v>
      </c>
      <c r="G604">
        <v>1.0357999999999999E-2</v>
      </c>
      <c r="H604" t="s">
        <v>451</v>
      </c>
      <c r="J604">
        <f t="shared" si="9"/>
        <v>1.04E-2</v>
      </c>
    </row>
    <row r="605" spans="1:10" x14ac:dyDescent="0.3">
      <c r="A605">
        <v>887</v>
      </c>
      <c r="B605">
        <v>38.450552999999999</v>
      </c>
      <c r="C605" t="s">
        <v>330</v>
      </c>
      <c r="D605" t="s">
        <v>8</v>
      </c>
      <c r="E605" t="s">
        <v>10</v>
      </c>
      <c r="F605">
        <v>60</v>
      </c>
      <c r="G605">
        <v>2.9229999999999999E-2</v>
      </c>
      <c r="H605" t="s">
        <v>452</v>
      </c>
      <c r="J605">
        <f t="shared" si="9"/>
        <v>2.93E-2</v>
      </c>
    </row>
    <row r="606" spans="1:10" x14ac:dyDescent="0.3">
      <c r="A606">
        <v>888</v>
      </c>
      <c r="B606">
        <v>38.450688999999997</v>
      </c>
      <c r="C606" t="s">
        <v>330</v>
      </c>
      <c r="D606" t="s">
        <v>8</v>
      </c>
      <c r="E606" t="s">
        <v>10</v>
      </c>
      <c r="F606">
        <v>60</v>
      </c>
      <c r="G606">
        <v>1.36E-4</v>
      </c>
      <c r="H606" t="s">
        <v>453</v>
      </c>
      <c r="J606">
        <f t="shared" si="9"/>
        <v>2.0000000000000001E-4</v>
      </c>
    </row>
    <row r="607" spans="1:10" x14ac:dyDescent="0.3">
      <c r="A607">
        <v>889</v>
      </c>
      <c r="B607">
        <v>38.450702</v>
      </c>
      <c r="C607" t="s">
        <v>8</v>
      </c>
      <c r="D607" t="s">
        <v>330</v>
      </c>
      <c r="E607" t="s">
        <v>10</v>
      </c>
      <c r="F607">
        <v>54</v>
      </c>
      <c r="G607">
        <v>1.2999999999999999E-5</v>
      </c>
      <c r="H607" t="s">
        <v>454</v>
      </c>
      <c r="J607">
        <f t="shared" si="9"/>
        <v>1E-4</v>
      </c>
    </row>
    <row r="608" spans="1:10" x14ac:dyDescent="0.3">
      <c r="A608">
        <v>890</v>
      </c>
      <c r="B608">
        <v>38.454631999999997</v>
      </c>
      <c r="C608" t="s">
        <v>8</v>
      </c>
      <c r="D608" t="s">
        <v>285</v>
      </c>
      <c r="E608" t="s">
        <v>10</v>
      </c>
      <c r="F608">
        <v>54</v>
      </c>
      <c r="G608">
        <v>3.9300000000000003E-3</v>
      </c>
      <c r="H608" t="s">
        <v>455</v>
      </c>
      <c r="J608">
        <f t="shared" si="9"/>
        <v>4.0000000000000001E-3</v>
      </c>
    </row>
    <row r="609" spans="1:10" x14ac:dyDescent="0.3">
      <c r="A609">
        <v>891</v>
      </c>
      <c r="B609">
        <v>38.506303000000003</v>
      </c>
      <c r="C609" t="s">
        <v>8</v>
      </c>
      <c r="D609" t="s">
        <v>285</v>
      </c>
      <c r="E609" t="s">
        <v>20</v>
      </c>
      <c r="F609">
        <v>201</v>
      </c>
      <c r="G609">
        <v>5.1671000000000002E-2</v>
      </c>
      <c r="H609" t="s">
        <v>21</v>
      </c>
      <c r="J609">
        <f t="shared" si="9"/>
        <v>5.1700000000000003E-2</v>
      </c>
    </row>
    <row r="610" spans="1:10" x14ac:dyDescent="0.3">
      <c r="A610">
        <v>892</v>
      </c>
      <c r="B610">
        <v>38.506338999999997</v>
      </c>
      <c r="C610" t="s">
        <v>8</v>
      </c>
      <c r="D610" t="s">
        <v>285</v>
      </c>
      <c r="E610" t="s">
        <v>20</v>
      </c>
      <c r="F610">
        <v>1497</v>
      </c>
      <c r="G610">
        <v>3.6000000000000001E-5</v>
      </c>
      <c r="H610" t="s">
        <v>21</v>
      </c>
      <c r="J610">
        <f t="shared" si="9"/>
        <v>1E-4</v>
      </c>
    </row>
    <row r="611" spans="1:10" x14ac:dyDescent="0.3">
      <c r="A611">
        <v>893</v>
      </c>
      <c r="B611">
        <v>38.770572999999999</v>
      </c>
      <c r="C611" t="s">
        <v>285</v>
      </c>
      <c r="D611" t="s">
        <v>8</v>
      </c>
      <c r="E611" t="s">
        <v>10</v>
      </c>
      <c r="F611">
        <v>60</v>
      </c>
      <c r="G611">
        <v>0.26423400000000002</v>
      </c>
      <c r="H611" t="s">
        <v>456</v>
      </c>
      <c r="J611">
        <f t="shared" si="9"/>
        <v>0.26429999999999998</v>
      </c>
    </row>
    <row r="612" spans="1:10" x14ac:dyDescent="0.3">
      <c r="A612">
        <v>894</v>
      </c>
      <c r="B612">
        <v>38.771557000000001</v>
      </c>
      <c r="C612" t="s">
        <v>285</v>
      </c>
      <c r="D612" t="s">
        <v>8</v>
      </c>
      <c r="E612" t="s">
        <v>10</v>
      </c>
      <c r="F612">
        <v>1514</v>
      </c>
      <c r="G612">
        <v>9.8400000000000007E-4</v>
      </c>
      <c r="H612" t="s">
        <v>457</v>
      </c>
      <c r="J612">
        <f t="shared" si="9"/>
        <v>1E-3</v>
      </c>
    </row>
    <row r="613" spans="1:10" x14ac:dyDescent="0.3">
      <c r="A613">
        <v>895</v>
      </c>
      <c r="B613">
        <v>38.771870999999997</v>
      </c>
      <c r="C613" t="s">
        <v>285</v>
      </c>
      <c r="D613" t="s">
        <v>8</v>
      </c>
      <c r="E613" t="s">
        <v>10</v>
      </c>
      <c r="F613">
        <v>1514</v>
      </c>
      <c r="G613">
        <v>3.1399999999999999E-4</v>
      </c>
      <c r="H613" t="s">
        <v>458</v>
      </c>
      <c r="J613">
        <f t="shared" si="9"/>
        <v>3.9999999999999996E-4</v>
      </c>
    </row>
    <row r="614" spans="1:10" x14ac:dyDescent="0.3">
      <c r="A614">
        <v>896</v>
      </c>
      <c r="B614">
        <v>38.771887</v>
      </c>
      <c r="C614" t="s">
        <v>8</v>
      </c>
      <c r="D614" t="s">
        <v>285</v>
      </c>
      <c r="E614" t="s">
        <v>10</v>
      </c>
      <c r="F614">
        <v>54</v>
      </c>
      <c r="G614">
        <v>1.5999999999999999E-5</v>
      </c>
      <c r="H614" t="s">
        <v>459</v>
      </c>
      <c r="J614">
        <f t="shared" si="9"/>
        <v>1E-4</v>
      </c>
    </row>
    <row r="615" spans="1:10" x14ac:dyDescent="0.3">
      <c r="A615">
        <v>897</v>
      </c>
      <c r="B615">
        <v>38.772027000000001</v>
      </c>
      <c r="C615" t="s">
        <v>285</v>
      </c>
      <c r="D615" t="s">
        <v>8</v>
      </c>
      <c r="E615" t="s">
        <v>10</v>
      </c>
      <c r="F615">
        <v>1514</v>
      </c>
      <c r="G615">
        <v>1.3999999999999999E-4</v>
      </c>
      <c r="H615" t="s">
        <v>460</v>
      </c>
      <c r="J615">
        <f t="shared" si="9"/>
        <v>2.0000000000000001E-4</v>
      </c>
    </row>
    <row r="616" spans="1:10" x14ac:dyDescent="0.3">
      <c r="A616">
        <v>898</v>
      </c>
      <c r="B616">
        <v>38.772117000000001</v>
      </c>
      <c r="C616" t="s">
        <v>285</v>
      </c>
      <c r="D616" t="s">
        <v>8</v>
      </c>
      <c r="E616" t="s">
        <v>10</v>
      </c>
      <c r="F616">
        <v>1514</v>
      </c>
      <c r="G616">
        <v>9.0000000000000006E-5</v>
      </c>
      <c r="H616" t="s">
        <v>461</v>
      </c>
      <c r="J616">
        <f t="shared" si="9"/>
        <v>1E-4</v>
      </c>
    </row>
    <row r="617" spans="1:10" x14ac:dyDescent="0.3">
      <c r="A617">
        <v>899</v>
      </c>
      <c r="B617">
        <v>38.772129</v>
      </c>
      <c r="C617" t="s">
        <v>8</v>
      </c>
      <c r="D617" t="s">
        <v>285</v>
      </c>
      <c r="E617" t="s">
        <v>10</v>
      </c>
      <c r="F617">
        <v>54</v>
      </c>
      <c r="G617">
        <v>1.2E-5</v>
      </c>
      <c r="H617" t="s">
        <v>462</v>
      </c>
      <c r="J617">
        <f t="shared" si="9"/>
        <v>1E-4</v>
      </c>
    </row>
    <row r="618" spans="1:10" x14ac:dyDescent="0.3">
      <c r="A618">
        <v>900</v>
      </c>
      <c r="B618">
        <v>38.772247</v>
      </c>
      <c r="C618" t="s">
        <v>285</v>
      </c>
      <c r="D618" t="s">
        <v>8</v>
      </c>
      <c r="E618" t="s">
        <v>10</v>
      </c>
      <c r="F618">
        <v>1514</v>
      </c>
      <c r="G618">
        <v>1.18E-4</v>
      </c>
      <c r="H618" t="s">
        <v>463</v>
      </c>
      <c r="J618">
        <f t="shared" si="9"/>
        <v>2.0000000000000001E-4</v>
      </c>
    </row>
    <row r="619" spans="1:10" x14ac:dyDescent="0.3">
      <c r="A619">
        <v>901</v>
      </c>
      <c r="B619">
        <v>38.772370000000002</v>
      </c>
      <c r="C619" t="s">
        <v>285</v>
      </c>
      <c r="D619" t="s">
        <v>8</v>
      </c>
      <c r="E619" t="s">
        <v>10</v>
      </c>
      <c r="F619">
        <v>1514</v>
      </c>
      <c r="G619">
        <v>1.2300000000000001E-4</v>
      </c>
      <c r="H619" t="s">
        <v>464</v>
      </c>
      <c r="J619">
        <f t="shared" si="9"/>
        <v>2.0000000000000001E-4</v>
      </c>
    </row>
    <row r="620" spans="1:10" x14ac:dyDescent="0.3">
      <c r="A620">
        <v>902</v>
      </c>
      <c r="B620">
        <v>38.772381000000003</v>
      </c>
      <c r="C620" t="s">
        <v>8</v>
      </c>
      <c r="D620" t="s">
        <v>285</v>
      </c>
      <c r="E620" t="s">
        <v>10</v>
      </c>
      <c r="F620">
        <v>54</v>
      </c>
      <c r="G620">
        <v>1.1E-5</v>
      </c>
      <c r="H620" t="s">
        <v>465</v>
      </c>
      <c r="J620">
        <f t="shared" si="9"/>
        <v>1E-4</v>
      </c>
    </row>
    <row r="621" spans="1:10" x14ac:dyDescent="0.3">
      <c r="A621">
        <v>903</v>
      </c>
      <c r="B621">
        <v>38.772492999999997</v>
      </c>
      <c r="C621" t="s">
        <v>285</v>
      </c>
      <c r="D621" t="s">
        <v>8</v>
      </c>
      <c r="E621" t="s">
        <v>10</v>
      </c>
      <c r="F621">
        <v>1514</v>
      </c>
      <c r="G621">
        <v>1.12E-4</v>
      </c>
      <c r="H621" t="s">
        <v>466</v>
      </c>
      <c r="J621">
        <f t="shared" si="9"/>
        <v>2.0000000000000001E-4</v>
      </c>
    </row>
    <row r="622" spans="1:10" x14ac:dyDescent="0.3">
      <c r="A622">
        <v>904</v>
      </c>
      <c r="B622">
        <v>38.772615999999999</v>
      </c>
      <c r="C622" t="s">
        <v>285</v>
      </c>
      <c r="D622" t="s">
        <v>8</v>
      </c>
      <c r="E622" t="s">
        <v>10</v>
      </c>
      <c r="F622">
        <v>1514</v>
      </c>
      <c r="G622">
        <v>1.2300000000000001E-4</v>
      </c>
      <c r="H622" t="s">
        <v>467</v>
      </c>
      <c r="J622">
        <f t="shared" si="9"/>
        <v>2.0000000000000001E-4</v>
      </c>
    </row>
    <row r="623" spans="1:10" x14ac:dyDescent="0.3">
      <c r="A623">
        <v>905</v>
      </c>
      <c r="B623">
        <v>38.772627</v>
      </c>
      <c r="C623" t="s">
        <v>8</v>
      </c>
      <c r="D623" t="s">
        <v>285</v>
      </c>
      <c r="E623" t="s">
        <v>10</v>
      </c>
      <c r="F623">
        <v>54</v>
      </c>
      <c r="G623">
        <v>1.1E-5</v>
      </c>
      <c r="H623" t="s">
        <v>468</v>
      </c>
      <c r="J623">
        <f t="shared" si="9"/>
        <v>1E-4</v>
      </c>
    </row>
    <row r="624" spans="1:10" x14ac:dyDescent="0.3">
      <c r="A624">
        <v>906</v>
      </c>
      <c r="B624">
        <v>38.772739000000001</v>
      </c>
      <c r="C624" t="s">
        <v>285</v>
      </c>
      <c r="D624" t="s">
        <v>8</v>
      </c>
      <c r="E624" t="s">
        <v>10</v>
      </c>
      <c r="F624">
        <v>1514</v>
      </c>
      <c r="G624">
        <v>1.12E-4</v>
      </c>
      <c r="H624" t="s">
        <v>469</v>
      </c>
      <c r="J624">
        <f t="shared" si="9"/>
        <v>2.0000000000000001E-4</v>
      </c>
    </row>
    <row r="625" spans="1:10" x14ac:dyDescent="0.3">
      <c r="A625">
        <v>907</v>
      </c>
      <c r="B625">
        <v>38.772862000000003</v>
      </c>
      <c r="C625" t="s">
        <v>285</v>
      </c>
      <c r="D625" t="s">
        <v>8</v>
      </c>
      <c r="E625" t="s">
        <v>10</v>
      </c>
      <c r="F625">
        <v>1514</v>
      </c>
      <c r="G625">
        <v>1.2300000000000001E-4</v>
      </c>
      <c r="H625" t="s">
        <v>470</v>
      </c>
      <c r="J625">
        <f t="shared" si="9"/>
        <v>2.0000000000000001E-4</v>
      </c>
    </row>
    <row r="626" spans="1:10" x14ac:dyDescent="0.3">
      <c r="A626">
        <v>908</v>
      </c>
      <c r="B626">
        <v>38.772872999999997</v>
      </c>
      <c r="C626" t="s">
        <v>8</v>
      </c>
      <c r="D626" t="s">
        <v>285</v>
      </c>
      <c r="E626" t="s">
        <v>10</v>
      </c>
      <c r="F626">
        <v>54</v>
      </c>
      <c r="G626">
        <v>1.1E-5</v>
      </c>
      <c r="H626" t="s">
        <v>471</v>
      </c>
      <c r="J626">
        <f t="shared" si="9"/>
        <v>1E-4</v>
      </c>
    </row>
    <row r="627" spans="1:10" x14ac:dyDescent="0.3">
      <c r="A627">
        <v>909</v>
      </c>
      <c r="B627">
        <v>38.772986000000003</v>
      </c>
      <c r="C627" t="s">
        <v>285</v>
      </c>
      <c r="D627" t="s">
        <v>8</v>
      </c>
      <c r="E627" t="s">
        <v>10</v>
      </c>
      <c r="F627">
        <v>1514</v>
      </c>
      <c r="G627">
        <v>1.13E-4</v>
      </c>
      <c r="H627" t="s">
        <v>472</v>
      </c>
      <c r="J627">
        <f t="shared" si="9"/>
        <v>2.0000000000000001E-4</v>
      </c>
    </row>
    <row r="628" spans="1:10" x14ac:dyDescent="0.3">
      <c r="A628">
        <v>910</v>
      </c>
      <c r="B628">
        <v>38.773009999999999</v>
      </c>
      <c r="C628" t="s">
        <v>285</v>
      </c>
      <c r="D628" t="s">
        <v>8</v>
      </c>
      <c r="E628" t="s">
        <v>20</v>
      </c>
      <c r="F628">
        <v>490</v>
      </c>
      <c r="G628">
        <v>2.4000000000000001E-5</v>
      </c>
      <c r="H628" t="s">
        <v>90</v>
      </c>
      <c r="J628">
        <f t="shared" si="9"/>
        <v>1E-4</v>
      </c>
    </row>
    <row r="629" spans="1:10" x14ac:dyDescent="0.3">
      <c r="A629">
        <v>911</v>
      </c>
      <c r="B629">
        <v>38.773021999999997</v>
      </c>
      <c r="C629" t="s">
        <v>8</v>
      </c>
      <c r="D629" t="s">
        <v>285</v>
      </c>
      <c r="E629" t="s">
        <v>10</v>
      </c>
      <c r="F629">
        <v>54</v>
      </c>
      <c r="G629">
        <v>1.2E-5</v>
      </c>
      <c r="H629" t="s">
        <v>473</v>
      </c>
      <c r="J629">
        <f t="shared" si="9"/>
        <v>1E-4</v>
      </c>
    </row>
    <row r="630" spans="1:10" x14ac:dyDescent="0.3">
      <c r="A630">
        <v>912</v>
      </c>
      <c r="B630">
        <v>38.773150000000001</v>
      </c>
      <c r="C630" t="s">
        <v>285</v>
      </c>
      <c r="D630" t="s">
        <v>8</v>
      </c>
      <c r="E630" t="s">
        <v>10</v>
      </c>
      <c r="F630">
        <v>1514</v>
      </c>
      <c r="G630">
        <v>1.2799999999999999E-4</v>
      </c>
      <c r="H630" t="s">
        <v>474</v>
      </c>
      <c r="J630">
        <f t="shared" si="9"/>
        <v>2.0000000000000001E-4</v>
      </c>
    </row>
    <row r="631" spans="1:10" x14ac:dyDescent="0.3">
      <c r="A631">
        <v>913</v>
      </c>
      <c r="B631">
        <v>38.773283999999997</v>
      </c>
      <c r="C631" t="s">
        <v>285</v>
      </c>
      <c r="D631" t="s">
        <v>8</v>
      </c>
      <c r="E631" t="s">
        <v>10</v>
      </c>
      <c r="F631">
        <v>1514</v>
      </c>
      <c r="G631">
        <v>1.34E-4</v>
      </c>
      <c r="H631" t="s">
        <v>475</v>
      </c>
      <c r="J631">
        <f t="shared" si="9"/>
        <v>2.0000000000000001E-4</v>
      </c>
    </row>
    <row r="632" spans="1:10" x14ac:dyDescent="0.3">
      <c r="A632">
        <v>914</v>
      </c>
      <c r="B632">
        <v>38.773294999999997</v>
      </c>
      <c r="C632" t="s">
        <v>8</v>
      </c>
      <c r="D632" t="s">
        <v>285</v>
      </c>
      <c r="E632" t="s">
        <v>10</v>
      </c>
      <c r="F632">
        <v>54</v>
      </c>
      <c r="G632">
        <v>1.1E-5</v>
      </c>
      <c r="H632" t="s">
        <v>476</v>
      </c>
      <c r="J632">
        <f t="shared" si="9"/>
        <v>1E-4</v>
      </c>
    </row>
    <row r="633" spans="1:10" x14ac:dyDescent="0.3">
      <c r="A633">
        <v>915</v>
      </c>
      <c r="B633">
        <v>38.773406000000001</v>
      </c>
      <c r="C633" t="s">
        <v>285</v>
      </c>
      <c r="D633" t="s">
        <v>8</v>
      </c>
      <c r="E633" t="s">
        <v>10</v>
      </c>
      <c r="F633">
        <v>1514</v>
      </c>
      <c r="G633">
        <v>1.11E-4</v>
      </c>
      <c r="H633" t="s">
        <v>477</v>
      </c>
      <c r="J633">
        <f t="shared" si="9"/>
        <v>2.0000000000000001E-4</v>
      </c>
    </row>
    <row r="634" spans="1:10" x14ac:dyDescent="0.3">
      <c r="A634">
        <v>916</v>
      </c>
      <c r="B634">
        <v>38.773437000000001</v>
      </c>
      <c r="C634" t="s">
        <v>285</v>
      </c>
      <c r="D634" t="s">
        <v>8</v>
      </c>
      <c r="E634" t="s">
        <v>20</v>
      </c>
      <c r="F634">
        <v>574</v>
      </c>
      <c r="G634">
        <v>3.1000000000000001E-5</v>
      </c>
      <c r="H634" t="s">
        <v>21</v>
      </c>
      <c r="J634">
        <f t="shared" si="9"/>
        <v>1E-4</v>
      </c>
    </row>
    <row r="635" spans="1:10" x14ac:dyDescent="0.3">
      <c r="A635">
        <v>917</v>
      </c>
      <c r="B635">
        <v>38.773446999999997</v>
      </c>
      <c r="C635" t="s">
        <v>8</v>
      </c>
      <c r="D635" t="s">
        <v>285</v>
      </c>
      <c r="E635" t="s">
        <v>10</v>
      </c>
      <c r="F635">
        <v>54</v>
      </c>
      <c r="G635">
        <v>1.0000000000000001E-5</v>
      </c>
      <c r="H635" t="s">
        <v>478</v>
      </c>
      <c r="J635">
        <f t="shared" si="9"/>
        <v>1E-4</v>
      </c>
    </row>
    <row r="636" spans="1:10" x14ac:dyDescent="0.3">
      <c r="A636">
        <v>918</v>
      </c>
      <c r="B636">
        <v>38.839883</v>
      </c>
      <c r="C636" t="s">
        <v>8</v>
      </c>
      <c r="D636" t="s">
        <v>285</v>
      </c>
      <c r="E636" t="s">
        <v>10</v>
      </c>
      <c r="F636">
        <v>54</v>
      </c>
      <c r="G636">
        <v>6.6435999999999995E-2</v>
      </c>
      <c r="H636" t="s">
        <v>479</v>
      </c>
      <c r="J636">
        <f t="shared" si="9"/>
        <v>6.6500000000000004E-2</v>
      </c>
    </row>
    <row r="637" spans="1:10" x14ac:dyDescent="0.3">
      <c r="A637">
        <v>919</v>
      </c>
      <c r="B637">
        <v>39.054198999999997</v>
      </c>
      <c r="C637" t="s">
        <v>8</v>
      </c>
      <c r="D637" t="s">
        <v>480</v>
      </c>
      <c r="E637" t="s">
        <v>10</v>
      </c>
      <c r="F637">
        <v>66</v>
      </c>
      <c r="G637">
        <v>0.21431600000000001</v>
      </c>
      <c r="H637" t="s">
        <v>481</v>
      </c>
      <c r="J637">
        <f t="shared" si="9"/>
        <v>0.21439999999999998</v>
      </c>
    </row>
    <row r="638" spans="1:10" x14ac:dyDescent="0.3">
      <c r="A638">
        <v>920</v>
      </c>
      <c r="B638">
        <v>39.103496999999997</v>
      </c>
      <c r="C638" t="s">
        <v>285</v>
      </c>
      <c r="D638" t="s">
        <v>8</v>
      </c>
      <c r="E638" t="s">
        <v>10</v>
      </c>
      <c r="F638">
        <v>60</v>
      </c>
      <c r="G638">
        <v>4.9298000000000002E-2</v>
      </c>
      <c r="H638" t="s">
        <v>482</v>
      </c>
      <c r="J638">
        <f t="shared" si="9"/>
        <v>4.9300000000000004E-2</v>
      </c>
    </row>
    <row r="639" spans="1:10" x14ac:dyDescent="0.3">
      <c r="A639">
        <v>921</v>
      </c>
      <c r="B639">
        <v>39.103524</v>
      </c>
      <c r="C639" t="s">
        <v>8</v>
      </c>
      <c r="D639" t="s">
        <v>285</v>
      </c>
      <c r="E639" t="s">
        <v>10</v>
      </c>
      <c r="F639">
        <v>54</v>
      </c>
      <c r="G639">
        <v>2.6999999999999999E-5</v>
      </c>
      <c r="H639" t="s">
        <v>483</v>
      </c>
      <c r="J639">
        <f t="shared" si="9"/>
        <v>1E-4</v>
      </c>
    </row>
    <row r="640" spans="1:10" x14ac:dyDescent="0.3">
      <c r="A640">
        <v>922</v>
      </c>
      <c r="B640">
        <v>39.259377000000001</v>
      </c>
      <c r="C640" t="s">
        <v>480</v>
      </c>
      <c r="D640" t="s">
        <v>8</v>
      </c>
      <c r="E640" t="s">
        <v>10</v>
      </c>
      <c r="F640">
        <v>66</v>
      </c>
      <c r="G640">
        <v>0.15585299999999999</v>
      </c>
      <c r="H640" t="s">
        <v>484</v>
      </c>
      <c r="J640">
        <f t="shared" si="9"/>
        <v>0.15589999999999998</v>
      </c>
    </row>
    <row r="641" spans="1:13" x14ac:dyDescent="0.3">
      <c r="A641">
        <v>923</v>
      </c>
      <c r="B641">
        <v>39.259441000000002</v>
      </c>
      <c r="C641" t="s">
        <v>8</v>
      </c>
      <c r="D641" t="s">
        <v>480</v>
      </c>
      <c r="E641" t="s">
        <v>10</v>
      </c>
      <c r="F641">
        <v>54</v>
      </c>
      <c r="G641">
        <v>6.3999999999999997E-5</v>
      </c>
      <c r="H641" t="s">
        <v>485</v>
      </c>
      <c r="J641">
        <f t="shared" si="9"/>
        <v>1E-4</v>
      </c>
    </row>
    <row r="642" spans="1:13" x14ac:dyDescent="0.3">
      <c r="A642">
        <v>924</v>
      </c>
      <c r="B642">
        <v>39.260106999999998</v>
      </c>
      <c r="C642" t="s">
        <v>8</v>
      </c>
      <c r="D642" t="s">
        <v>480</v>
      </c>
      <c r="E642" t="s">
        <v>20</v>
      </c>
      <c r="F642">
        <v>271</v>
      </c>
      <c r="G642">
        <v>6.6600000000000003E-4</v>
      </c>
      <c r="H642" t="s">
        <v>486</v>
      </c>
      <c r="J642">
        <f t="shared" si="9"/>
        <v>6.9999999999999999E-4</v>
      </c>
    </row>
    <row r="643" spans="1:13" x14ac:dyDescent="0.3">
      <c r="A643">
        <v>925</v>
      </c>
      <c r="B643">
        <v>39.466231999999998</v>
      </c>
      <c r="C643" t="s">
        <v>480</v>
      </c>
      <c r="D643" t="s">
        <v>8</v>
      </c>
      <c r="E643" t="s">
        <v>10</v>
      </c>
      <c r="F643">
        <v>1514</v>
      </c>
      <c r="G643">
        <v>0.206125</v>
      </c>
      <c r="H643" t="s">
        <v>487</v>
      </c>
      <c r="J643">
        <f t="shared" si="9"/>
        <v>0.20619999999999999</v>
      </c>
    </row>
    <row r="644" spans="1:13" x14ac:dyDescent="0.3">
      <c r="A644">
        <v>926</v>
      </c>
      <c r="B644">
        <v>39.46631</v>
      </c>
      <c r="C644" t="s">
        <v>480</v>
      </c>
      <c r="D644" t="s">
        <v>8</v>
      </c>
      <c r="E644" t="s">
        <v>20</v>
      </c>
      <c r="F644">
        <v>1027</v>
      </c>
      <c r="G644">
        <v>7.7999999999999999E-5</v>
      </c>
      <c r="H644" t="s">
        <v>296</v>
      </c>
      <c r="J644">
        <f t="shared" ref="J644:J653" si="10">ROUNDUP(G644,4)</f>
        <v>1E-4</v>
      </c>
    </row>
    <row r="645" spans="1:13" x14ac:dyDescent="0.3">
      <c r="A645">
        <v>927</v>
      </c>
      <c r="B645">
        <v>39.466323000000003</v>
      </c>
      <c r="C645" t="s">
        <v>8</v>
      </c>
      <c r="D645" t="s">
        <v>480</v>
      </c>
      <c r="E645" t="s">
        <v>10</v>
      </c>
      <c r="F645">
        <v>54</v>
      </c>
      <c r="G645">
        <v>1.2999999999999999E-5</v>
      </c>
      <c r="H645" t="s">
        <v>488</v>
      </c>
      <c r="J645">
        <f t="shared" si="10"/>
        <v>1E-4</v>
      </c>
    </row>
    <row r="646" spans="1:13" x14ac:dyDescent="0.3">
      <c r="A646">
        <v>928</v>
      </c>
      <c r="B646">
        <v>39.469701000000001</v>
      </c>
      <c r="C646" t="s">
        <v>8</v>
      </c>
      <c r="D646" t="s">
        <v>480</v>
      </c>
      <c r="E646" t="s">
        <v>20</v>
      </c>
      <c r="F646">
        <v>212</v>
      </c>
      <c r="G646">
        <v>3.3779999999999999E-3</v>
      </c>
      <c r="H646" t="s">
        <v>240</v>
      </c>
      <c r="J646">
        <f t="shared" si="10"/>
        <v>3.3999999999999998E-3</v>
      </c>
    </row>
    <row r="647" spans="1:13" x14ac:dyDescent="0.3">
      <c r="A647">
        <v>929</v>
      </c>
      <c r="B647">
        <v>39.675786000000002</v>
      </c>
      <c r="C647" t="s">
        <v>480</v>
      </c>
      <c r="D647" t="s">
        <v>8</v>
      </c>
      <c r="E647" t="s">
        <v>20</v>
      </c>
      <c r="F647">
        <v>105</v>
      </c>
      <c r="G647">
        <v>0.20608499999999999</v>
      </c>
      <c r="H647" t="s">
        <v>241</v>
      </c>
      <c r="J647">
        <f t="shared" si="10"/>
        <v>0.20609999999999998</v>
      </c>
    </row>
    <row r="648" spans="1:13" x14ac:dyDescent="0.3">
      <c r="A648">
        <v>930</v>
      </c>
      <c r="B648">
        <v>39.675863</v>
      </c>
      <c r="C648" t="s">
        <v>480</v>
      </c>
      <c r="D648" t="s">
        <v>8</v>
      </c>
      <c r="E648" t="s">
        <v>20</v>
      </c>
      <c r="F648">
        <v>123</v>
      </c>
      <c r="G648">
        <v>7.7000000000000001E-5</v>
      </c>
      <c r="H648" t="s">
        <v>21</v>
      </c>
      <c r="J648">
        <f t="shared" si="10"/>
        <v>1E-4</v>
      </c>
    </row>
    <row r="649" spans="1:13" x14ac:dyDescent="0.3">
      <c r="A649">
        <v>931</v>
      </c>
      <c r="B649">
        <v>39.675877999999997</v>
      </c>
      <c r="C649" t="s">
        <v>8</v>
      </c>
      <c r="D649" t="s">
        <v>480</v>
      </c>
      <c r="E649" t="s">
        <v>10</v>
      </c>
      <c r="F649">
        <v>54</v>
      </c>
      <c r="G649">
        <v>1.5E-5</v>
      </c>
      <c r="H649" t="s">
        <v>489</v>
      </c>
      <c r="J649">
        <f t="shared" si="10"/>
        <v>1E-4</v>
      </c>
    </row>
    <row r="650" spans="1:13" x14ac:dyDescent="0.3">
      <c r="A650">
        <v>932</v>
      </c>
      <c r="B650">
        <v>39.676433000000003</v>
      </c>
      <c r="C650" t="s">
        <v>8</v>
      </c>
      <c r="D650" t="s">
        <v>480</v>
      </c>
      <c r="E650" t="s">
        <v>20</v>
      </c>
      <c r="F650">
        <v>141</v>
      </c>
      <c r="G650">
        <v>5.5500000000000005E-4</v>
      </c>
      <c r="H650" t="s">
        <v>21</v>
      </c>
      <c r="J650">
        <f t="shared" si="10"/>
        <v>6.0000000000000006E-4</v>
      </c>
    </row>
    <row r="651" spans="1:13" x14ac:dyDescent="0.3">
      <c r="A651">
        <v>933</v>
      </c>
      <c r="B651">
        <v>39.676488999999997</v>
      </c>
      <c r="C651" t="s">
        <v>8</v>
      </c>
      <c r="D651" t="s">
        <v>480</v>
      </c>
      <c r="E651" t="s">
        <v>20</v>
      </c>
      <c r="F651">
        <v>234</v>
      </c>
      <c r="G651">
        <v>5.5999999999999999E-5</v>
      </c>
      <c r="H651" t="s">
        <v>21</v>
      </c>
      <c r="J651">
        <f t="shared" si="10"/>
        <v>1E-4</v>
      </c>
    </row>
    <row r="652" spans="1:13" x14ac:dyDescent="0.3">
      <c r="A652">
        <v>934</v>
      </c>
      <c r="B652">
        <v>39.676523000000003</v>
      </c>
      <c r="C652" t="s">
        <v>8</v>
      </c>
      <c r="D652" t="s">
        <v>480</v>
      </c>
      <c r="E652" t="s">
        <v>20</v>
      </c>
      <c r="F652">
        <v>92</v>
      </c>
      <c r="G652">
        <v>3.4E-5</v>
      </c>
      <c r="H652" t="s">
        <v>21</v>
      </c>
      <c r="J652">
        <f t="shared" si="10"/>
        <v>1E-4</v>
      </c>
    </row>
    <row r="653" spans="1:13" x14ac:dyDescent="0.3">
      <c r="A653">
        <v>937</v>
      </c>
      <c r="B653">
        <v>39.881011000000001</v>
      </c>
      <c r="C653" t="s">
        <v>480</v>
      </c>
      <c r="D653" t="s">
        <v>8</v>
      </c>
      <c r="E653" t="s">
        <v>10</v>
      </c>
      <c r="F653">
        <v>60</v>
      </c>
      <c r="G653">
        <v>0.204488</v>
      </c>
      <c r="H653" t="s">
        <v>490</v>
      </c>
      <c r="J653">
        <f t="shared" si="10"/>
        <v>0.20449999999999999</v>
      </c>
    </row>
    <row r="654" spans="1:13" x14ac:dyDescent="0.3">
      <c r="I654" s="2" t="s">
        <v>491</v>
      </c>
      <c r="J654" s="1">
        <f>SUM(J2:J653)</f>
        <v>38.509400000000291</v>
      </c>
      <c r="K654" s="1">
        <v>652</v>
      </c>
      <c r="L654" s="1">
        <f>J654/K654</f>
        <v>5.906349693251578E-2</v>
      </c>
      <c r="M654" s="1" t="s">
        <v>492</v>
      </c>
    </row>
    <row r="655" spans="1:13" x14ac:dyDescent="0.3">
      <c r="I655" s="1"/>
      <c r="J655" s="1"/>
      <c r="K655" s="1"/>
      <c r="L655" s="3">
        <f>L654*1000</f>
        <v>59.063496932515783</v>
      </c>
      <c r="M655" s="1" t="s">
        <v>493</v>
      </c>
    </row>
    <row r="656" spans="1:13" x14ac:dyDescent="0.3">
      <c r="I656" s="1"/>
      <c r="J656" s="1"/>
      <c r="K656" s="1"/>
      <c r="L656" s="1"/>
      <c r="M656" s="1"/>
    </row>
    <row r="657" spans="9:13" x14ac:dyDescent="0.3">
      <c r="I657" s="2" t="s">
        <v>494</v>
      </c>
      <c r="J657" s="1">
        <v>296383</v>
      </c>
      <c r="K657" s="1" t="s">
        <v>495</v>
      </c>
      <c r="L657" s="1"/>
      <c r="M657" s="1"/>
    </row>
    <row r="658" spans="9:13" x14ac:dyDescent="0.3">
      <c r="I658" s="1"/>
      <c r="J658" s="1">
        <f>J657/J654</f>
        <v>7696.380623951497</v>
      </c>
      <c r="K658" s="1" t="s">
        <v>495</v>
      </c>
      <c r="L658" s="1"/>
      <c r="M658" s="1"/>
    </row>
    <row r="659" spans="9:13" x14ac:dyDescent="0.3">
      <c r="I659" s="1"/>
      <c r="J659" s="1">
        <f>J658*8</f>
        <v>61571.044991611976</v>
      </c>
      <c r="K659" s="1" t="s">
        <v>496</v>
      </c>
      <c r="L659" s="1"/>
      <c r="M659" s="1"/>
    </row>
    <row r="660" spans="9:13" x14ac:dyDescent="0.3">
      <c r="I660" s="1"/>
      <c r="J660" s="3">
        <f>J659/1000</f>
        <v>61.571044991611977</v>
      </c>
      <c r="K660" s="1" t="s">
        <v>497</v>
      </c>
      <c r="L660" s="1"/>
      <c r="M660" s="1"/>
    </row>
    <row r="661" spans="9:13" x14ac:dyDescent="0.3">
      <c r="I661" s="1"/>
      <c r="J661" s="1"/>
      <c r="K661" s="1"/>
      <c r="L661" s="1"/>
      <c r="M661" s="1"/>
    </row>
    <row r="662" spans="9:13" x14ac:dyDescent="0.3">
      <c r="I662" s="2" t="s">
        <v>498</v>
      </c>
      <c r="J662" s="1">
        <v>652</v>
      </c>
      <c r="K662" s="1" t="s">
        <v>499</v>
      </c>
      <c r="L662" s="1"/>
      <c r="M662" s="1"/>
    </row>
    <row r="663" spans="9:13" x14ac:dyDescent="0.3">
      <c r="I663" s="1"/>
      <c r="J663" s="1">
        <v>0</v>
      </c>
      <c r="K663" s="1" t="s">
        <v>500</v>
      </c>
      <c r="L663" s="1"/>
      <c r="M663" s="1"/>
    </row>
    <row r="664" spans="9:13" x14ac:dyDescent="0.3">
      <c r="I664" s="1"/>
      <c r="J664" s="3">
        <f>(J663/J662)*100%</f>
        <v>0</v>
      </c>
      <c r="K664" s="1" t="s">
        <v>501</v>
      </c>
      <c r="L664" s="1"/>
      <c r="M664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percobaan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2025-03-05T17:12:13Z</dcterms:created>
  <dcterms:modified xsi:type="dcterms:W3CDTF">2025-04-30T08:58:29Z</dcterms:modified>
</cp:coreProperties>
</file>